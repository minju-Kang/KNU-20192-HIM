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28" codeName="{144559BF-596A-2B24-0A50-F0D1D4C42CD1}"/>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E96A0185-316B-439A-A7DD-15B8DE9623D9}" xr6:coauthVersionLast="45" xr6:coauthVersionMax="45" xr10:uidLastSave="{00000000-0000-0000-0000-000000000000}"/>
  <bookViews>
    <workbookView xWindow="-108" yWindow="-108" windowWidth="23256" windowHeight="12576"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Schedule!$M$4:$AB$5</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Schedule!$U$4</definedName>
    <definedName name="RNG_ACTUAL_RATE_COL_NAME">Schedule!$AB$4</definedName>
    <definedName name="RNG_ACTUAL_START_DATE_COL_NAME">Schedule!$T$4</definedName>
    <definedName name="RNG_ACTUAL_TOTAL_DURATION_COL_NAME">Schedule!$W$4</definedName>
    <definedName name="RNG_ACTUAL_TOTAL_WORKLOAD_COL_NAME">Schedule!$V$4</definedName>
    <definedName name="RNG_CALENDAR_COL_NAME">Schedule!$O$4</definedName>
    <definedName name="RNG_DELIVERABLES_COL_NAME">Schedule!$Z$4</definedName>
    <definedName name="RNG_END_DATE_COL_NAME">Schedule!$N$4</definedName>
    <definedName name="RNG_ETC_COL_NAME">Schedule!$L$4</definedName>
    <definedName name="RNG_GANTT_AREA_FIRST_COL_NAME">Schedule!$AC$5</definedName>
    <definedName name="RNG_PLAN_DURATION_COL_NAME">Schedule!$S$4</definedName>
    <definedName name="RNG_PLAN_RATE_COL_NAME">Schedule!$AA$4</definedName>
    <definedName name="RNG_PLAN_WORKLOAD_COL_NAME">Schedule!$Q$4</definedName>
    <definedName name="RNG_RESOURCE_COL_NAME">Schedule!$Y$4</definedName>
    <definedName name="RNG_RESOURCE_WEIGHT_COL_NAME">Schedule!$X$4</definedName>
    <definedName name="RNG_START_DATE_COL_NAME">Schedule!$M$4</definedName>
    <definedName name="RNG_TASK_FIRST_COL_NAME">Schedule!$E$4</definedName>
    <definedName name="RNG_TOTAL_DURATION_COL_NAME">Schedule!$R$4</definedName>
    <definedName name="RNG_TOTAL_WORKLOAD_COL_NAME">Schedule!$P$4</definedName>
    <definedName name="RNG_WBS_AREA_LAST_COL_NAME" localSheetId="2">[1]Schedule!#REF!</definedName>
    <definedName name="RNG_WBS_AREA_LAST_COL_NAME">Schedule!$AB$4</definedName>
    <definedName name="RNG_WBS_COL_NAME">Schedule!$D$4</definedName>
    <definedName name="RNG_WBS_LEVEL_COL_NAME">Schedule!$C$4</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Schedule!$E$5:$T$5</definedName>
    <definedName name="Z_0A64F8D9_59E4_4471_A54B_AB6085820F8B_.wvu.FilterData" localSheetId="3" hidden="1">Schedule!$E$5:$T$5</definedName>
    <definedName name="Z_0A64F8D9_59E4_4471_A54B_AB6085820F8B_.wvu.PrintArea" localSheetId="3" hidden="1">Schedule!$E$5:$AB$5</definedName>
    <definedName name="Z_0B810681_CC81_4141_9F16_24B3FD4F0FB8_.wvu.FilterData" localSheetId="3" hidden="1">Schedule!$E$5:$T$5</definedName>
    <definedName name="Z_0B810681_CC81_4141_9F16_24B3FD4F0FB8_.wvu.PrintArea" localSheetId="3" hidden="1">Schedule!$E$5:$AB$5</definedName>
    <definedName name="Z_45F170B6_3544_43F8_BFC7_D657B723AABC_.wvu.FilterData" localSheetId="3" hidden="1">Schedule!$E$5:$T$5</definedName>
    <definedName name="Z_45F170B6_3544_43F8_BFC7_D657B723AABC_.wvu.PrintArea" localSheetId="3" hidden="1">Schedule!$E$5:$AB$5</definedName>
    <definedName name="Z_6C04A49A_6140_42F5_B660_358F3428D555_.wvu.FilterData" localSheetId="3" hidden="1">Schedule!$E$5:$T$5</definedName>
    <definedName name="Z_6C04A49A_6140_42F5_B660_358F3428D555_.wvu.PrintArea" localSheetId="3" hidden="1">Schedule!$E$5:$AB$5</definedName>
    <definedName name="Z_717B341C_ADF7_4494_8FE3_F9159C14788B_.wvu.FilterData" localSheetId="3" hidden="1">Schedule!$E$5:$T$5</definedName>
    <definedName name="Z_96DEAA77_2828_4E97_975A_CF93EF5D9712_.wvu.FilterData" localSheetId="3" hidden="1">Schedule!$E$5:$T$5</definedName>
    <definedName name="Z_AF9F6769_16BA_4444_B539_537212F9672A_.wvu.FilterData" localSheetId="3" hidden="1">Schedule!$E$5:$T$5</definedName>
    <definedName name="Z_AF9F6769_16BA_4444_B539_537212F9672A_.wvu.PrintArea" localSheetId="3" hidden="1">Schedule!$E$5:$AB$5</definedName>
    <definedName name="Z_B0AA3114_3257_4D99_8E15_F0A183B56293_.wvu.FilterData" localSheetId="3" hidden="1">Schedule!$E$5:$T$5</definedName>
    <definedName name="Z_B4798534_C27D_422C_BD87_0A71D9C8BAA9_.wvu.FilterData" localSheetId="3" hidden="1">Schedule!$E$5:$T$5</definedName>
    <definedName name="Z_C7B87852_3417_4B82_AD8F_04929FC46960_.wvu.FilterData" localSheetId="3" hidden="1">Schedule!$E$5:$T$5</definedName>
    <definedName name="Z_CD147E05_78AB_4F1A_996E_7FAB0BB4629B_.wvu.FilterData" localSheetId="3" hidden="1">Schedule!$E$5:$T$5</definedName>
    <definedName name="Z_F8F33EAC_6737_4237_A48D_05833D89E8C9_.wvu.FilterData" localSheetId="3" hidden="1">Schedule!$E$5:$T$5</definedName>
    <definedName name="Z_F8F33EAC_6737_4237_A48D_05833D89E8C9_.wvu.PrintArea" localSheetId="3" hidden="1">Schedule!$E$5:$AB$5</definedName>
    <definedName name="Z_FA644498_2FA7_4E23_AA15_463455A1D2EE_.wvu.FilterData" localSheetId="3" hidden="1">Schedule!$E$5:$T$5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6" i="2" l="1"/>
  <c r="AC7" i="2"/>
  <c r="AF8" i="2"/>
  <c r="AJ8" i="2"/>
  <c r="AF9" i="2"/>
  <c r="AJ9" i="2"/>
  <c r="AF10" i="2"/>
  <c r="AG11" i="2"/>
  <c r="AH12" i="2"/>
  <c r="AF13" i="2"/>
  <c r="AJ13" i="2"/>
  <c r="AF14" i="2"/>
  <c r="AH15" i="2"/>
  <c r="AF16" i="2"/>
  <c r="AJ16" i="2"/>
  <c r="AF17" i="2"/>
  <c r="AH18" i="2"/>
  <c r="AJ19" i="2"/>
  <c r="AQ19" i="2"/>
  <c r="AJ20" i="2"/>
  <c r="AQ20" i="2"/>
  <c r="AJ21" i="2"/>
  <c r="AL22" i="2"/>
  <c r="AO22" i="2"/>
  <c r="AL23" i="2"/>
  <c r="AP23" i="2"/>
  <c r="AL24" i="2"/>
  <c r="AP24" i="2"/>
  <c r="AL25" i="2"/>
  <c r="AP25" i="2"/>
  <c r="AL26" i="2"/>
  <c r="AQ26" i="2"/>
  <c r="AJ27" i="2"/>
  <c r="AN27" i="2"/>
  <c r="AJ28" i="2"/>
  <c r="AL29" i="2"/>
  <c r="AJ30" i="2"/>
  <c r="AN30" i="2"/>
  <c r="AJ31" i="2"/>
  <c r="AL32" i="2"/>
  <c r="AN33" i="2"/>
  <c r="AO34" i="2"/>
  <c r="AR34" i="2"/>
  <c r="AO35" i="2"/>
  <c r="AR35" i="2"/>
  <c r="F7" i="4"/>
  <c r="F8" i="4"/>
  <c r="F9" i="4"/>
  <c r="F10" i="4"/>
  <c r="F11" i="4"/>
  <c r="F12" i="4"/>
  <c r="F13" i="4"/>
  <c r="F14" i="4"/>
  <c r="F15" i="4"/>
  <c r="F16" i="4"/>
  <c r="F17" i="4"/>
  <c r="F18" i="4"/>
  <c r="F19" i="4"/>
  <c r="F20" i="4"/>
  <c r="F21" i="4"/>
  <c r="D22" i="4"/>
  <c r="E22" i="4" s="1"/>
  <c r="E21" i="4"/>
  <c r="E20" i="4"/>
  <c r="E19" i="4"/>
  <c r="E18" i="4"/>
  <c r="E17" i="4"/>
  <c r="E16" i="4"/>
  <c r="E15" i="4"/>
  <c r="E14" i="4"/>
  <c r="E13" i="4"/>
  <c r="E12" i="4"/>
  <c r="E11" i="4"/>
  <c r="E10" i="4"/>
  <c r="E9" i="4"/>
  <c r="E8" i="4"/>
  <c r="E7" i="4"/>
  <c r="H78" i="8"/>
  <c r="D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1" i="2"/>
</calcChain>
</file>

<file path=xl/sharedStrings.xml><?xml version="1.0" encoding="utf-8"?>
<sst xmlns="http://schemas.openxmlformats.org/spreadsheetml/2006/main" count="1427" uniqueCount="1129">
  <si>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</si>
  <si>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</si>
  <si>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</si>
  <si>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</si>
  <si>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</si>
  <si>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</si>
  <si>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</si>
  <si>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</si>
  <si>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</si>
  <si>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</si>
  <si>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</si>
  <si>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</si>
  <si>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</si>
  <si>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</si>
  <si>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</si>
  <si>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</si>
  <si>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</si>
  <si>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</si>
  <si>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</si>
  <si>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</si>
  <si>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</si>
  <si>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</si>
  <si>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</si>
  <si>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</si>
  <si>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</si>
  <si>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</si>
  <si>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</si>
  <si>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</si>
  <si>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</si>
  <si>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</si>
  <si>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</si>
  <si>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</si>
  <si>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</si>
  <si>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</si>
  <si>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</si>
  <si>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</si>
  <si>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</si>
  <si>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</si>
  <si>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</si>
  <si>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</si>
  <si>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</si>
  <si>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</si>
  <si>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</si>
  <si>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</si>
  <si>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</si>
  <si>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</si>
  <si>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</si>
  <si>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</si>
  <si>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</si>
  <si>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</si>
  <si>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</si>
  <si>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</si>
  <si>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</si>
  <si>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</si>
  <si>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</si>
  <si>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</si>
  <si>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</si>
  <si>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</si>
  <si>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</si>
  <si>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</si>
  <si>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</si>
  <si>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</si>
  <si>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</si>
  <si>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</si>
  <si>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</si>
  <si>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</si>
  <si>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</si>
  <si>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</si>
  <si>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</si>
  <si>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</si>
  <si>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</si>
  <si>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</si>
  <si>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</si>
  <si>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</si>
  <si>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</si>
  <si>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</si>
  <si>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</si>
  <si>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</si>
  <si>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</si>
  <si>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</si>
  <si>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</si>
  <si>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</si>
  <si>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</si>
  <si>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</si>
  <si>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</si>
  <si>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</si>
  <si>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</si>
  <si>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</si>
  <si>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</si>
  <si>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</si>
  <si>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</si>
  <si>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</si>
  <si>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</si>
  <si>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</si>
  <si>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</si>
  <si>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</si>
  <si>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</si>
  <si>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</si>
  <si>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</si>
  <si>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</si>
  <si>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</si>
  <si>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</si>
  <si>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</si>
  <si>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</si>
  <si>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</si>
  <si>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</si>
  <si>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</si>
  <si>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</si>
  <si>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</si>
  <si>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</si>
  <si>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</si>
  <si>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</si>
  <si>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</si>
  <si>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</si>
  <si>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</si>
  <si>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</si>
  <si>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</si>
  <si>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</si>
  <si>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</si>
  <si>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</si>
  <si>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</si>
  <si>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</si>
  <si>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</si>
  <si>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</si>
  <si>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</si>
  <si>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</si>
  <si>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</si>
  <si>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</si>
  <si>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</si>
  <si>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</si>
  <si>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</si>
  <si>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</si>
  <si>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</si>
  <si>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</si>
  <si>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</si>
  <si>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</si>
  <si>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</si>
  <si>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</si>
  <si>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</si>
  <si>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</si>
  <si>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</si>
  <si>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</si>
  <si>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</si>
  <si>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</si>
  <si>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</si>
  <si>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</si>
  <si>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</si>
  <si>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</si>
  <si>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</si>
  <si>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</si>
  <si>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</si>
  <si>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</si>
  <si>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</si>
  <si>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</si>
  <si>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</si>
  <si>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</si>
  <si>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</si>
  <si>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</si>
  <si>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</si>
  <si>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</si>
  <si>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</si>
  <si>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</si>
  <si>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</si>
  <si>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</si>
  <si>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</si>
  <si>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</si>
  <si>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</si>
  <si>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</si>
  <si>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</si>
  <si>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</si>
  <si>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</si>
  <si>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</si>
  <si>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</si>
  <si>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</si>
  <si>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</si>
  <si>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</si>
  <si>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</si>
  <si>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</si>
  <si>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</si>
  <si>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</si>
  <si>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</si>
  <si>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</si>
  <si>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</si>
  <si>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</si>
  <si>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</si>
  <si>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</si>
  <si>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</si>
  <si>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</si>
  <si>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</si>
  <si>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</si>
  <si>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</si>
  <si>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</si>
  <si>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</si>
  <si>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</si>
  <si>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</si>
  <si>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</si>
  <si>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</si>
  <si>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</si>
  <si>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</si>
  <si>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</si>
  <si>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</si>
  <si>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</si>
  <si>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</si>
  <si>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</si>
  <si>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</si>
  <si>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</si>
  <si>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</si>
  <si>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</si>
  <si>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</si>
  <si>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</si>
  <si>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</si>
  <si>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</si>
  <si>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</si>
  <si>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</si>
  <si>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</si>
  <si>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</si>
  <si>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</si>
  <si>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</si>
  <si>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</si>
  <si>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</si>
  <si>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</si>
  <si>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</si>
  <si>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</si>
  <si>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</si>
  <si>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</si>
  <si>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</si>
  <si>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</si>
  <si>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</si>
  <si>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</si>
  <si>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</si>
  <si>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</si>
  <si>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</si>
  <si>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</si>
  <si>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</si>
  <si>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</si>
  <si>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</si>
  <si>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</si>
  <si>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</si>
  <si>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</si>
  <si>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</si>
  <si>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</si>
  <si>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</si>
  <si>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</si>
  <si>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</si>
  <si>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</si>
  <si>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</si>
  <si>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</si>
  <si>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</si>
  <si>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</si>
  <si>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</si>
  <si>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</si>
  <si>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</si>
  <si>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</si>
  <si>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</si>
  <si>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</si>
  <si>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</si>
  <si>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</si>
  <si>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</si>
  <si>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</si>
  <si>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</si>
  <si>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</si>
  <si>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</si>
  <si>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</si>
  <si>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</si>
  <si>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</si>
  <si>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</si>
  <si>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</si>
  <si>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</si>
  <si>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</si>
  <si>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</si>
  <si>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</si>
  <si>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</si>
  <si>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</si>
  <si>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</si>
  <si>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</si>
  <si>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</si>
  <si>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</si>
  <si>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</si>
  <si>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</si>
  <si>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</si>
  <si>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</si>
  <si>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</si>
  <si>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</si>
  <si>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</si>
  <si>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</si>
  <si>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</si>
  <si>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</si>
  <si>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</si>
  <si>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</si>
  <si>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</si>
  <si>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</si>
  <si>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</si>
  <si>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</si>
  <si>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</si>
  <si>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</si>
  <si>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</si>
  <si>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</si>
  <si>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</si>
  <si>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</si>
  <si>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</si>
  <si>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</si>
  <si>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</si>
  <si>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</si>
  <si>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</si>
  <si>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</si>
  <si>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</si>
  <si>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</si>
  <si>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</si>
  <si>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</si>
  <si>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</si>
  <si>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</si>
  <si>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</si>
  <si>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</si>
  <si>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</si>
  <si>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</si>
  <si>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</si>
  <si>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</si>
  <si>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</si>
  <si>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</si>
  <si>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</si>
  <si>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</si>
  <si>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</si>
  <si>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</si>
  <si>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</si>
  <si>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</si>
  <si>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</si>
  <si>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</si>
  <si>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</si>
  <si>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</si>
  <si>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</si>
  <si>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</si>
  <si>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</si>
  <si>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</si>
  <si>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</si>
  <si>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</si>
  <si>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</si>
  <si>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</si>
  <si>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</si>
  <si>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</si>
  <si>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</si>
  <si>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</si>
  <si>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</si>
  <si>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</si>
  <si>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</si>
  <si>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</si>
  <si>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</si>
  <si>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</si>
  <si>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</si>
  <si>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</si>
  <si>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</si>
  <si>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</si>
  <si>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</si>
  <si>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</si>
  <si>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</si>
  <si>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</si>
  <si>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</si>
  <si>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</si>
  <si>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</si>
  <si>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</si>
  <si>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</si>
  <si>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</si>
  <si>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</si>
  <si>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</si>
  <si>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</si>
  <si>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</si>
  <si>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</si>
  <si>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</si>
  <si>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</si>
  <si>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</si>
  <si>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</si>
  <si>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</si>
  <si>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</si>
  <si>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</si>
  <si>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</si>
  <si>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</si>
  <si>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</si>
  <si>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</si>
  <si>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</si>
  <si>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</si>
  <si>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</si>
  <si>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</si>
  <si>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</si>
  <si>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</si>
  <si>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</si>
  <si>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</si>
  <si>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</si>
  <si>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</si>
  <si>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</si>
  <si>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</si>
  <si>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</si>
  <si>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</si>
  <si>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</si>
  <si>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</si>
  <si>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</si>
  <si>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</si>
  <si>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</si>
  <si>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</si>
  <si>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</si>
  <si>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</si>
  <si>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</si>
  <si>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</si>
  <si>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</si>
  <si>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</si>
  <si>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</si>
  <si>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</si>
  <si>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</si>
  <si>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</si>
  <si>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</si>
  <si>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</si>
  <si>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</si>
  <si>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</si>
  <si>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</si>
  <si>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</si>
  <si>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</si>
  <si>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</si>
  <si>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</si>
  <si>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</si>
  <si>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</si>
  <si>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</si>
  <si>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</si>
  <si>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</si>
  <si>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</si>
  <si>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</si>
  <si>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</si>
  <si>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</si>
  <si>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</si>
  <si>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</si>
  <si>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</si>
  <si>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</si>
  <si>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</si>
  <si>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</si>
  <si>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</si>
  <si>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</si>
  <si>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</si>
  <si>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</si>
  <si>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</si>
  <si>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</si>
  <si>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</si>
  <si>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</si>
  <si>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</si>
  <si>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</si>
  <si>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</si>
  <si>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</si>
  <si>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</si>
  <si>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</si>
  <si>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</si>
  <si>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</si>
  <si>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</si>
  <si>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</si>
  <si>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</si>
  <si>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</si>
  <si>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</si>
  <si>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</si>
  <si>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</si>
  <si>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</si>
  <si>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</si>
  <si>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</si>
  <si>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</si>
  <si>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</si>
  <si>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</si>
  <si>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</si>
  <si>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</si>
  <si>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</si>
  <si>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</si>
  <si>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</si>
  <si>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</si>
  <si>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</si>
  <si>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</si>
  <si>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</si>
  <si>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</si>
  <si>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</si>
  <si>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</si>
  <si>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</si>
  <si>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</si>
  <si>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</si>
  <si>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</si>
  <si>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</si>
  <si>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</si>
  <si>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</si>
  <si>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</si>
  <si>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</si>
  <si>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</si>
  <si>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</si>
  <si>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</si>
  <si>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</si>
  <si>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</si>
  <si>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</si>
  <si>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</si>
  <si>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</si>
  <si>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</si>
  <si>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</si>
  <si>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</si>
  <si>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</si>
  <si>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</si>
  <si>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</si>
  <si>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</si>
  <si>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</si>
  <si>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</si>
  <si>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</si>
  <si>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</si>
  <si>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</si>
  <si>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</si>
  <si>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</si>
  <si>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</si>
  <si>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</si>
  <si>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</si>
  <si>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</si>
  <si>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</si>
  <si>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</si>
  <si>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</si>
  <si>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</si>
  <si>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</si>
  <si>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</si>
  <si>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</si>
  <si>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</si>
  <si>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</si>
  <si>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</si>
  <si>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</si>
  <si>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</si>
  <si>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</si>
  <si>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</si>
  <si>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</si>
  <si>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</si>
  <si>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</si>
  <si>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</si>
  <si>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</si>
  <si>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</si>
  <si>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</si>
  <si>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</si>
  <si>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</si>
  <si>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</si>
  <si>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</si>
  <si>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</si>
  <si>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</si>
  <si>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</si>
  <si>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</si>
  <si>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</si>
  <si>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</si>
  <si>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</si>
  <si>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</si>
  <si>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</si>
  <si>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</si>
  <si>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</si>
  <si>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</si>
  <si>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</si>
  <si>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</si>
  <si>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</si>
  <si>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</si>
  <si>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</si>
  <si>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</si>
  <si>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</si>
  <si>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</si>
  <si>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</si>
  <si>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</si>
  <si>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</si>
  <si>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</si>
  <si>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</si>
  <si>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</si>
  <si>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</si>
  <si>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</si>
  <si>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</si>
  <si>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</si>
  <si>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</si>
  <si>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</si>
  <si>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</si>
  <si>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</si>
  <si>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</si>
  <si>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</si>
  <si>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</si>
  <si>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</si>
  <si>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</si>
  <si>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</si>
  <si>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</si>
  <si>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</si>
  <si>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</si>
  <si>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</si>
  <si>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</si>
  <si>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</si>
  <si>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</si>
  <si>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</si>
  <si>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</si>
  <si>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</si>
  <si>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</si>
  <si>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</si>
  <si>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</si>
  <si>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</si>
  <si>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</si>
  <si>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</si>
  <si>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</si>
  <si>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</si>
  <si>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</si>
  <si>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</si>
  <si>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</si>
  <si>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</si>
  <si>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</si>
  <si>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</si>
  <si>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</si>
  <si>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</si>
  <si>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</si>
  <si>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</si>
  <si>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</si>
  <si>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</si>
  <si>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</si>
  <si>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</si>
  <si>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</si>
  <si>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</si>
  <si>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</si>
  <si>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</si>
  <si>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</si>
  <si>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</si>
  <si>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</si>
  <si>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</si>
  <si>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</si>
  <si>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</si>
  <si>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</si>
  <si>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</si>
  <si>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</si>
  <si>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</si>
  <si>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</si>
  <si>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</si>
  <si>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</si>
  <si>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</si>
  <si>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</si>
  <si>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</si>
  <si>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</si>
  <si>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</si>
  <si>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</si>
  <si>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</si>
  <si>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</si>
  <si>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</si>
  <si>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</si>
  <si>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</si>
  <si>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</si>
  <si>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</si>
  <si>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</si>
  <si>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</si>
  <si>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</si>
  <si>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</si>
  <si>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</si>
  <si>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</si>
  <si>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</si>
  <si>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</si>
  <si>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</si>
  <si>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</si>
  <si>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</si>
  <si>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</si>
  <si>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</si>
  <si>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</si>
  <si>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</si>
  <si>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</si>
  <si>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</si>
  <si>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</si>
  <si>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</si>
  <si>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</si>
  <si>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</si>
  <si>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</si>
  <si>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</si>
  <si>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</si>
  <si>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</si>
  <si>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</si>
  <si>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</si>
  <si>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</si>
  <si>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</si>
  <si>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</si>
  <si>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</si>
  <si>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</si>
  <si>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</si>
  <si>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</si>
  <si>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</si>
  <si>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</si>
  <si>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</si>
  <si>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</si>
  <si>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</si>
  <si>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</si>
  <si>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</si>
  <si>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</si>
  <si>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</si>
  <si>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</si>
  <si>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</si>
  <si>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</si>
  <si>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</si>
  <si>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</si>
  <si>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</si>
  <si>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</si>
  <si>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</si>
  <si>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</si>
  <si>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</si>
  <si>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</si>
  <si>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</si>
  <si>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</si>
  <si>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</si>
  <si>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</si>
  <si>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</si>
  <si>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</si>
  <si>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</si>
  <si>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</si>
  <si>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</si>
  <si>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</si>
  <si>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</si>
  <si>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</si>
  <si>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</si>
  <si>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</si>
  <si>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</si>
  <si>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</si>
  <si>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</si>
  <si>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</si>
  <si>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</si>
  <si>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</si>
  <si>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</si>
  <si>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</si>
  <si>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</si>
  <si>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</si>
  <si>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</si>
  <si>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</si>
  <si>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</si>
  <si>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</si>
  <si>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</si>
  <si>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</si>
  <si>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</si>
  <si>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</si>
  <si>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</si>
  <si>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</si>
  <si>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</si>
  <si>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</si>
  <si>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</si>
  <si>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</si>
  <si>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</si>
  <si>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</si>
  <si>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</si>
  <si>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</si>
  <si>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</si>
  <si>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</si>
  <si>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</si>
  <si>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</si>
  <si>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</si>
  <si>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</si>
  <si>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</si>
  <si>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</si>
  <si>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</si>
  <si>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</si>
  <si>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</si>
  <si>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</si>
  <si>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</si>
  <si>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</si>
  <si>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</si>
  <si>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</si>
  <si>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</si>
  <si>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</si>
  <si>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</si>
  <si>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</si>
  <si>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</si>
  <si>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</si>
  <si>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</si>
  <si>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</si>
  <si>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</si>
  <si>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</si>
  <si>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</si>
  <si>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</si>
  <si>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</si>
  <si>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</si>
  <si>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</si>
  <si>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</si>
  <si>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</si>
  <si>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</si>
  <si>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</si>
  <si>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</si>
  <si>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</si>
  <si>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</si>
  <si>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</si>
  <si>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</si>
  <si>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</si>
  <si>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</si>
  <si>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</si>
  <si>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</si>
  <si>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</si>
  <si>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</si>
  <si>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</si>
  <si>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</si>
  <si>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</si>
  <si>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</si>
  <si>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</si>
  <si>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</si>
  <si>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</si>
  <si>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</si>
  <si>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</si>
  <si>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</si>
  <si>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</si>
  <si>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</si>
  <si>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</si>
  <si>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</si>
  <si>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</si>
  <si>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</si>
  <si>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</si>
  <si>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</si>
  <si>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</si>
  <si>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</si>
  <si>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</si>
  <si>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</si>
  <si>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</si>
  <si>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</si>
  <si>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</si>
  <si>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</si>
  <si>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</si>
  <si>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</si>
  <si>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</si>
  <si>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</si>
  <si>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</si>
  <si>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</si>
  <si>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</si>
  <si>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</si>
  <si>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</si>
  <si>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</si>
  <si>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</si>
  <si>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</si>
  <si>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</si>
  <si>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</si>
  <si>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</si>
  <si>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</si>
  <si>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</si>
  <si>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</si>
  <si>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</si>
  <si>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</si>
  <si>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</si>
  <si>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</si>
  <si>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</si>
  <si>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</si>
  <si>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</si>
  <si>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</si>
  <si>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</si>
  <si>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</si>
  <si>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</si>
  <si>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</si>
  <si>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</si>
  <si>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</si>
  <si>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</si>
  <si>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</si>
  <si>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</si>
  <si>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</si>
  <si>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</si>
  <si>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</si>
  <si>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</si>
  <si>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</si>
  <si>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</si>
  <si>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</si>
  <si>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</si>
  <si>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</si>
  <si>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</si>
  <si>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</si>
  <si>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</si>
  <si>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</si>
  <si>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</si>
  <si>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</si>
  <si>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</si>
  <si>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</si>
  <si>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</si>
  <si>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</si>
  <si>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</si>
  <si>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</si>
  <si>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</si>
  <si>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</si>
  <si>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</si>
  <si>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</si>
  <si>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</si>
  <si>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</si>
  <si>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</si>
  <si>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</si>
  <si>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</si>
  <si>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</si>
  <si>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</si>
  <si>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</si>
  <si>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</si>
  <si>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</si>
  <si>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</si>
  <si>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</si>
  <si>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</si>
  <si>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</si>
  <si>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</si>
  <si>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</si>
  <si>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</si>
  <si>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</si>
  <si>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</si>
  <si>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</si>
  <si>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</si>
  <si>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</si>
  <si>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</si>
  <si>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</si>
  <si>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</si>
  <si>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</si>
  <si>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</si>
  <si>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</si>
  <si>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</si>
  <si>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</si>
  <si>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</si>
  <si>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</si>
  <si>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</si>
  <si>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</si>
  <si>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</si>
  <si>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</si>
  <si>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</si>
  <si>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</si>
  <si>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</si>
  <si>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</si>
  <si>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</si>
  <si>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</si>
  <si>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</si>
  <si>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</si>
  <si>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</si>
  <si>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</si>
  <si>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</si>
  <si>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</si>
  <si>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</si>
  <si>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</si>
  <si>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</si>
  <si>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</si>
  <si>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</si>
  <si>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</si>
  <si>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</si>
  <si>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</si>
  <si>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</si>
  <si>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</si>
  <si>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</si>
  <si>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</si>
  <si>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</si>
  <si>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</si>
  <si>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</si>
  <si>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</si>
  <si>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</si>
  <si>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</si>
  <si>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</si>
  <si>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</si>
  <si>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</si>
  <si>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</si>
  <si>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</si>
  <si>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</si>
  <si>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</si>
  <si>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</si>
  <si>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</si>
  <si>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</si>
  <si>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</si>
  <si>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</si>
  <si>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</si>
  <si>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</si>
  <si>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</si>
  <si>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</si>
  <si>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</si>
  <si>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</si>
  <si>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</si>
  <si>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</si>
  <si>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</si>
  <si>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</si>
  <si>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</si>
  <si>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</si>
  <si>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</si>
  <si>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</si>
  <si>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</si>
  <si>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</si>
  <si>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</si>
  <si>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</si>
  <si>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</si>
  <si>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</si>
  <si>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</si>
  <si>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</si>
  <si>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</si>
  <si>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</si>
  <si>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</si>
  <si>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</si>
  <si>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</si>
  <si>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</si>
  <si>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설계</t>
  </si>
  <si>
    <t>구현</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</si>
  <si>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</si>
  <si>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</si>
  <si>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</si>
  <si>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</si>
  <si>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</si>
  <si>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</si>
  <si>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</si>
  <si>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</si>
  <si>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</si>
  <si>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</si>
  <si>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</si>
  <si>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</si>
  <si>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</si>
  <si>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</si>
  <si>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</si>
  <si>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</si>
  <si>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</si>
  <si>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</si>
  <si>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</si>
  <si>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</si>
  <si>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</si>
  <si>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</si>
  <si>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</si>
  <si>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</si>
  <si>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</si>
  <si>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</si>
  <si>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</si>
  <si>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</si>
  <si>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</si>
  <si>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</si>
  <si>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</si>
  <si>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</si>
  <si>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</si>
  <si>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</si>
  <si>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</si>
  <si>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</si>
  <si>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</si>
  <si>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</si>
  <si>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</si>
  <si>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</si>
  <si>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</si>
  <si>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</si>
  <si>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</si>
  <si>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</si>
  <si>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</si>
  <si>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</si>
  <si>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</si>
  <si>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</si>
  <si>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</si>
  <si>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</si>
  <si>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</si>
  <si>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</si>
  <si>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</si>
  <si>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</si>
  <si>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</si>
  <si>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</si>
  <si>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</si>
  <si>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</si>
  <si>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</si>
  <si>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</si>
  <si>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</si>
  <si>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</si>
  <si>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</si>
  <si>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</si>
  <si>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</si>
  <si>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</si>
  <si>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</si>
  <si>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</si>
  <si>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</si>
  <si>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</si>
  <si>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</si>
  <si>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</si>
  <si>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</si>
  <si>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</si>
  <si>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</si>
  <si>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</si>
  <si>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</si>
  <si>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</si>
  <si>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</si>
  <si>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</si>
  <si>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</si>
  <si>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</si>
  <si>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</si>
  <si>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</si>
  <si>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</si>
  <si>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</si>
  <si>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총_x000D_
작업량</t>
    <phoneticPr fontId="8" type="noConversion"/>
  </si>
  <si>
    <t>계획_x000D_
작업량</t>
    <phoneticPr fontId="8" type="noConversion"/>
  </si>
  <si>
    <t>계획</t>
    <phoneticPr fontId="8" type="noConversion"/>
  </si>
  <si>
    <t>실제_x000D_
시작일</t>
    <phoneticPr fontId="8" type="noConversion"/>
  </si>
  <si>
    <t>Calendar</t>
    <phoneticPr fontId="8" type="noConversion"/>
  </si>
  <si>
    <t>계획_x000D_
기간</t>
    <phoneticPr fontId="8" type="noConversion"/>
  </si>
  <si>
    <t>담당</t>
    <phoneticPr fontId="8" type="noConversion"/>
  </si>
  <si>
    <t>요구사항 정의</t>
  </si>
  <si>
    <t>프로그램 설계</t>
  </si>
  <si>
    <t>프로그램 코딩</t>
  </si>
  <si>
    <t>테스트</t>
  </si>
  <si>
    <t>메인(서브 프로젝트 1)</t>
  </si>
  <si>
    <t>환자(서브 프로젝트 2)</t>
  </si>
  <si>
    <t>DB 설계</t>
  </si>
  <si>
    <t>서브 프로젝트 합치기</t>
  </si>
  <si>
    <t>통합 테스트 실시</t>
  </si>
  <si>
    <t>HIM 프로젝트</t>
    <phoneticPr fontId="2" type="noConversion"/>
  </si>
  <si>
    <t>UI 디자인</t>
  </si>
  <si>
    <t>UX 설계</t>
  </si>
  <si>
    <t>팀원 전체</t>
  </si>
  <si>
    <t>강민주, 공애리, 김미주, 백지원, 이수진</t>
    <phoneticPr fontId="8" type="noConversion"/>
  </si>
  <si>
    <t>{"TASK_FIRST_COL":"5","START_ROW":"6","WBS_AREA_LAST_COL":"28"}</t>
    <phoneticPr fontId="8" type="noConversion"/>
  </si>
  <si>
    <t>SCHEDULE_SHEET_POSITION:3645121314151617181920212223242526272829</t>
    <phoneticPr fontId="2" type="noConversion"/>
  </si>
  <si>
    <t>(양식) 요구정의.hwp</t>
  </si>
  <si>
    <t xml:space="preserve">  주별보기, Zoom 100%</t>
  </si>
  <si>
    <t>요구 분석</t>
  </si>
  <si>
    <t>김미주</t>
  </si>
  <si>
    <t>이수진</t>
  </si>
  <si>
    <t>김미주, 이수진</t>
  </si>
  <si>
    <t>강민주</t>
  </si>
  <si>
    <t>백지원</t>
  </si>
  <si>
    <t>공애리</t>
  </si>
  <si>
    <t>2</t>
  </si>
  <si>
    <t>2.1</t>
  </si>
  <si>
    <t>2.1.2</t>
  </si>
  <si>
    <t>2.1.3</t>
  </si>
  <si>
    <t>2.2</t>
  </si>
  <si>
    <t>2.2.2</t>
  </si>
  <si>
    <t>2.3</t>
  </si>
  <si>
    <t>2.3.1</t>
  </si>
  <si>
    <t>2.3.2</t>
  </si>
  <si>
    <t>3</t>
  </si>
  <si>
    <t>3.1</t>
  </si>
  <si>
    <t>3.1.1</t>
  </si>
  <si>
    <t>3.1.2</t>
  </si>
  <si>
    <t>3.2</t>
  </si>
  <si>
    <t>3.2.1</t>
  </si>
  <si>
    <t>3.2.2</t>
  </si>
  <si>
    <t>3.3</t>
  </si>
  <si>
    <t>3.3.1</t>
  </si>
  <si>
    <t>3.3.2</t>
  </si>
  <si>
    <t>3.4</t>
  </si>
  <si>
    <t>4</t>
  </si>
  <si>
    <t>4.1</t>
  </si>
  <si>
    <t>의사(서브 프로젝트 3)</t>
  </si>
  <si>
    <t>php와 mysql DB 연결</t>
  </si>
  <si>
    <t>3.1.3</t>
  </si>
  <si>
    <t>main 화면 구현</t>
  </si>
  <si>
    <t>login 화면 구현</t>
  </si>
  <si>
    <t>공애리, 백지원</t>
  </si>
  <si>
    <t>DB 연동</t>
  </si>
  <si>
    <t>createSession.php 구현</t>
  </si>
  <si>
    <t>로그인 화면과 DB연동</t>
  </si>
  <si>
    <t>uesr 생성,him 유 및 table 생성</t>
  </si>
  <si>
    <t>login.html이랑 P_login.html/D_login.html 연결. DB에서 ID, PW 가져오고 확인</t>
  </si>
  <si>
    <t>3.1.4</t>
  </si>
  <si>
    <t>3.1.5</t>
  </si>
  <si>
    <t>3.1.6</t>
  </si>
  <si>
    <t>Workload현황(주별)</t>
  </si>
  <si>
    <t>* 주별 또는 월별 Workload를 보여줍니다.</t>
  </si>
  <si>
    <t>* "Workload(주별)" 또는 "Workload(월별)" 메뉴를 클릭해야 내용이 갱신됩니다.</t>
  </si>
  <si>
    <t>일 (월평균 근무일수)</t>
  </si>
  <si>
    <t>차트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</si>
</sst>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4">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Arial Unicode MS"/>
      <family val="2"/>
      <charset val="129"/>
    </font>
    <font>
      <b/>
      <sz val="9"/>
      <name val="Arial Unicode MS"/>
      <family val="3"/>
      <charset val="129"/>
    </font>
    <font>
      <sz val="9"/>
      <color theme="1" tint="0.34998626667073579"/>
      <name val="Arial Unicode MS"/>
      <family val="2"/>
      <charset val="129"/>
    </font>
    <font>
      <sz val="10"/>
      <color theme="1" tint="0.34998626667073579"/>
      <name val="Arial Unicode MS"/>
      <family val="2"/>
      <charset val="129"/>
    </font>
    <font>
      <sz val="10"/>
      <color theme="1" tint="0.34998626667073579"/>
      <name val="Arial Unicode MS"/>
      <family val="3"/>
      <charset val="129"/>
    </font>
    <font>
      <b/>
      <sz val="13"/>
      <color rgb="FF0070C0"/>
      <name val="Calibri"/>
      <family val="2"/>
    </font>
    <font>
      <sz val="9"/>
      <name val="맑은 고딕"/>
      <family val="2"/>
      <charset val="129"/>
    </font>
    <font>
      <sz val="9"/>
      <name val="Calibri"/>
      <family val="2"/>
      <charset val="129"/>
    </font>
    <font>
      <sz val="11"/>
      <name val="Arial Narrow"/>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2"/>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6">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0" borderId="0" xfId="4" applyFont="1" applyBorder="1"/>
    <xf numFmtId="0" fontId="12" fillId="0" borderId="7" xfId="4" applyFont="1" applyFill="1" applyBorder="1" applyAlignment="1" applyProtection="1">
      <alignment horizontal="center" vertical="top"/>
      <protection locked="0"/>
    </xf>
    <xf numFmtId="0" fontId="3" fillId="11" borderId="0" xfId="1" applyFont="1" applyFill="1" applyBorder="1" applyAlignment="1">
      <alignment horizontal="center" vertical="center"/>
    </xf>
    <xf numFmtId="14" fontId="33" fillId="11" borderId="0" xfId="1" applyNumberFormat="1" applyFont="1" applyFill="1" applyBorder="1" applyAlignment="1">
      <alignment horizontal="center" vertical="top" wrapText="1"/>
    </xf>
    <xf numFmtId="0" fontId="31" fillId="11" borderId="0" xfId="2" applyNumberFormat="1" applyFont="1" applyFill="1" applyBorder="1" applyAlignment="1">
      <alignment horizontal="center" vertical="center"/>
    </xf>
    <xf numFmtId="0" fontId="12" fillId="0" borderId="22" xfId="4" applyFont="1" applyFill="1" applyBorder="1" applyAlignment="1" applyProtection="1">
      <alignment horizontal="center" vertical="top"/>
      <protection locked="0"/>
    </xf>
    <xf numFmtId="0" fontId="12" fillId="0" borderId="10" xfId="4" applyFont="1" applyFill="1" applyBorder="1" applyAlignment="1" applyProtection="1">
      <alignment horizontal="center" vertical="top"/>
      <protection locked="0"/>
    </xf>
    <xf numFmtId="0" fontId="12" fillId="0" borderId="25" xfId="4" applyFont="1" applyFill="1" applyBorder="1" applyAlignment="1" applyProtection="1">
      <alignment horizontal="center" vertical="top"/>
      <protection locked="0"/>
    </xf>
    <xf numFmtId="0" fontId="45" fillId="0" borderId="7" xfId="4" applyNumberFormat="1" applyFont="1" applyFill="1" applyBorder="1" applyAlignment="1" applyProtection="1">
      <alignment horizontal="left" vertical="top"/>
      <protection locked="0"/>
    </xf>
    <xf numFmtId="14" fontId="47" fillId="11" borderId="0" xfId="3" applyNumberFormat="1" applyFont="1" applyFill="1" applyBorder="1" applyAlignment="1">
      <alignment horizontal="left" vertical="center" wrapText="1"/>
    </xf>
    <xf numFmtId="0" fontId="50" fillId="11" borderId="0" xfId="2" applyFont="1" applyFill="1" applyBorder="1" applyAlignment="1">
      <alignment horizontal="right" vertical="center"/>
    </xf>
    <xf numFmtId="10" fontId="44" fillId="12" borderId="7" xfId="6" applyNumberFormat="1" applyFont="1" applyFill="1" applyBorder="1" applyAlignment="1" applyProtection="1">
      <alignment horizontal="right" vertical="top" wrapText="1"/>
      <protection locked="0"/>
    </xf>
    <xf numFmtId="10" fontId="44" fillId="12" borderId="7" xfId="6" applyNumberFormat="1" applyFont="1" applyFill="1" applyBorder="1" applyAlignment="1" applyProtection="1">
      <alignment horizontal="right" vertical="top"/>
      <protection locked="0"/>
    </xf>
    <xf numFmtId="0" fontId="12" fillId="8" borderId="7" xfId="4" quotePrefix="1" applyFont="1" applyFill="1" applyBorder="1" applyAlignment="1" applyProtection="1">
      <alignment horizontal="right" vertical="top"/>
      <protection locked="0"/>
    </xf>
    <xf numFmtId="0" fontId="12" fillId="8" borderId="7" xfId="4" applyFont="1" applyFill="1" applyBorder="1" applyAlignment="1" applyProtection="1">
      <alignment horizontal="left" vertical="top"/>
      <protection locked="0"/>
    </xf>
    <xf numFmtId="0" fontId="12" fillId="8" borderId="7" xfId="4" applyFont="1" applyFill="1" applyBorder="1" applyAlignment="1" applyProtection="1">
      <alignment horizontal="center" vertical="top"/>
      <protection locked="0"/>
    </xf>
    <xf numFmtId="14" fontId="44" fillId="8" borderId="7" xfId="4" applyNumberFormat="1" applyFont="1" applyFill="1" applyBorder="1" applyAlignment="1" applyProtection="1">
      <alignment horizontal="center" vertical="top"/>
      <protection locked="0"/>
    </xf>
    <xf numFmtId="0" fontId="44" fillId="8" borderId="7" xfId="4" applyNumberFormat="1" applyFont="1" applyFill="1" applyBorder="1" applyAlignment="1" applyProtection="1">
      <alignment horizontal="center" vertical="top"/>
      <protection locked="0"/>
    </xf>
    <xf numFmtId="176" fontId="44" fillId="8" borderId="7" xfId="4" applyNumberFormat="1" applyFont="1" applyFill="1" applyBorder="1" applyAlignment="1" applyProtection="1">
      <alignment horizontal="center" vertical="top"/>
      <protection locked="0"/>
    </xf>
    <xf numFmtId="177" fontId="44" fillId="8" borderId="7" xfId="4" applyNumberFormat="1" applyFont="1" applyFill="1" applyBorder="1" applyAlignment="1" applyProtection="1">
      <alignment horizontal="center" vertical="top"/>
      <protection locked="0"/>
    </xf>
    <xf numFmtId="1" fontId="44" fillId="8" borderId="7" xfId="4" applyNumberFormat="1" applyFont="1" applyFill="1" applyBorder="1" applyAlignment="1" applyProtection="1">
      <alignment horizontal="center" vertical="top"/>
      <protection locked="0"/>
    </xf>
    <xf numFmtId="179" fontId="44" fillId="8" borderId="7" xfId="4" applyNumberFormat="1" applyFont="1" applyFill="1" applyBorder="1" applyAlignment="1" applyProtection="1">
      <alignment horizontal="center" vertical="top"/>
      <protection locked="0"/>
    </xf>
    <xf numFmtId="0" fontId="44" fillId="8" borderId="7" xfId="4" applyNumberFormat="1" applyFont="1" applyFill="1" applyBorder="1" applyAlignment="1" applyProtection="1">
      <alignment horizontal="left" vertical="top"/>
      <protection locked="0"/>
    </xf>
    <xf numFmtId="14" fontId="44" fillId="8" borderId="7" xfId="4" applyNumberFormat="1" applyFont="1" applyFill="1" applyBorder="1" applyAlignment="1" applyProtection="1">
      <alignment horizontal="left" vertical="top"/>
      <protection locked="0"/>
    </xf>
    <xf numFmtId="0" fontId="51" fillId="0" borderId="7" xfId="4" applyNumberFormat="1" applyFont="1" applyFill="1" applyBorder="1" applyAlignment="1" applyProtection="1">
      <alignment horizontal="left" vertical="top"/>
      <protection locked="0"/>
    </xf>
    <xf numFmtId="0" fontId="51" fillId="0" borderId="7" xfId="4" applyFont="1" applyFill="1" applyBorder="1" applyAlignment="1" applyProtection="1">
      <alignment horizontal="center" vertical="top"/>
      <protection locked="0"/>
    </xf>
    <xf numFmtId="0" fontId="45"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top"/>
      <protection locked="0"/>
    </xf>
    <xf numFmtId="0" fontId="46" fillId="8" borderId="7" xfId="4" applyFont="1" applyFill="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14" fontId="48" fillId="11" borderId="0" xfId="3" applyNumberFormat="1" applyFont="1" applyFill="1" applyBorder="1" applyAlignment="1">
      <alignment horizontal="left" vertical="center" wrapText="1"/>
    </xf>
    <xf numFmtId="14" fontId="49" fillId="11" borderId="0" xfId="3" applyNumberFormat="1" applyFont="1" applyFill="1" applyBorder="1" applyAlignment="1">
      <alignment horizontal="left"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14" fontId="52" fillId="0" borderId="7" xfId="4" applyNumberFormat="1" applyFont="1" applyFill="1" applyBorder="1" applyAlignment="1" applyProtection="1">
      <alignment horizontal="left" vertical="top"/>
      <protection locked="0"/>
    </xf>
    <xf numFmtId="0" fontId="16" fillId="0" borderId="12" xfId="4" applyFont="1" applyBorder="1"/>
    <xf numFmtId="0" fontId="16" fillId="0" borderId="0" xfId="4" applyFont="1" applyBorder="1"/>
    <xf numFmtId="0" fontId="16" fillId="7" borderId="3" xfId="4" applyFont="1" applyFill="1" applyBorder="1" applyAlignment="1">
      <alignment horizontal="left" wrapText="1"/>
    </xf>
    <xf numFmtId="2" fontId="16" fillId="0" borderId="0" xfId="4" applyNumberFormat="1" applyFont="1" applyBorder="1"/>
    <xf numFmtId="2" fontId="16" fillId="0" borderId="15" xfId="4" applyNumberFormat="1" applyFont="1" applyBorder="1"/>
    <xf numFmtId="0" fontId="53" fillId="0" borderId="15" xfId="4" applyFont="1" applyBorder="1"/>
    <xf numFmtId="2" fontId="16" fillId="0" borderId="26" xfId="4" applyNumberFormat="1" applyFont="1" applyBorder="1"/>
    <xf numFmtId="0" fontId="53" fillId="0" borderId="26" xfId="4" applyFont="1" applyBorder="1"/>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44</xdr:col>
      <xdr:colOff>0</xdr:colOff>
      <xdr:row>4</xdr:row>
      <xdr:rowOff>59690</xdr:rowOff>
    </xdr:from>
    <xdr:to>
      <xdr:col>44</xdr:col>
      <xdr:colOff>0</xdr:colOff>
      <xdr:row>35</xdr:row>
      <xdr:rowOff>0</xdr:rowOff>
    </xdr:to>
    <xdr:cxnSp macro="">
      <xdr:nvCxnSpPr>
        <xdr:cNvPr id="23468" name="직선 화살표 연결선 23467">
          <a:extLst>
            <a:ext uri="{FF2B5EF4-FFF2-40B4-BE49-F238E27FC236}">
              <a16:creationId xmlns:a16="http://schemas.microsoft.com/office/drawing/2014/main" id="{731B0F17-E23F-48DC-9318-C89CE0D59DDB}"/>
            </a:ext>
          </a:extLst>
        </xdr:cNvPr>
        <xdr:cNvCxnSpPr/>
      </xdr:nvCxnSpPr>
      <xdr:spPr>
        <a:xfrm>
          <a:off x="21297900" y="875030"/>
          <a:ext cx="0" cy="50304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xdr:row>
      <xdr:rowOff>59690</xdr:rowOff>
    </xdr:from>
    <xdr:to>
      <xdr:col>43</xdr:col>
      <xdr:colOff>0</xdr:colOff>
      <xdr:row>35</xdr:row>
      <xdr:rowOff>0</xdr:rowOff>
    </xdr:to>
    <xdr:cxnSp macro="">
      <xdr:nvCxnSpPr>
        <xdr:cNvPr id="23469" name="직선 화살표 연결선 23468">
          <a:extLst>
            <a:ext uri="{FF2B5EF4-FFF2-40B4-BE49-F238E27FC236}">
              <a16:creationId xmlns:a16="http://schemas.microsoft.com/office/drawing/2014/main" id="{23DDA6CB-28CD-4BE6-B0D3-AE93F9002001}"/>
            </a:ext>
          </a:extLst>
        </xdr:cNvPr>
        <xdr:cNvCxnSpPr/>
      </xdr:nvCxnSpPr>
      <xdr:spPr>
        <a:xfrm>
          <a:off x="11277600" y="875030"/>
          <a:ext cx="0" cy="50304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34</xdr:row>
      <xdr:rowOff>26670</xdr:rowOff>
    </xdr:from>
    <xdr:to>
      <xdr:col>43</xdr:col>
      <xdr:colOff>62049</xdr:colOff>
      <xdr:row>34</xdr:row>
      <xdr:rowOff>140970</xdr:rowOff>
    </xdr:to>
    <xdr:sp macro="" textlink="">
      <xdr:nvSpPr>
        <xdr:cNvPr id="23470" name="직사각형 23469">
          <a:extLst>
            <a:ext uri="{FF2B5EF4-FFF2-40B4-BE49-F238E27FC236}">
              <a16:creationId xmlns:a16="http://schemas.microsoft.com/office/drawing/2014/main" id="{97319207-601E-42CD-BAAA-F9E76D4D106C}"/>
            </a:ext>
          </a:extLst>
        </xdr:cNvPr>
        <xdr:cNvSpPr/>
      </xdr:nvSpPr>
      <xdr:spPr>
        <a:xfrm>
          <a:off x="10863943" y="5764530"/>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34</xdr:row>
      <xdr:rowOff>83820</xdr:rowOff>
    </xdr:from>
    <xdr:to>
      <xdr:col>40</xdr:col>
      <xdr:colOff>20683</xdr:colOff>
      <xdr:row>34</xdr:row>
      <xdr:rowOff>83820</xdr:rowOff>
    </xdr:to>
    <xdr:cxnSp macro="">
      <xdr:nvCxnSpPr>
        <xdr:cNvPr id="23471" name="직선 화살표 연결선 23470">
          <a:extLst>
            <a:ext uri="{FF2B5EF4-FFF2-40B4-BE49-F238E27FC236}">
              <a16:creationId xmlns:a16="http://schemas.microsoft.com/office/drawing/2014/main" id="{380C9506-99B9-4DC0-9E7A-EE9A48946506}"/>
            </a:ext>
          </a:extLst>
        </xdr:cNvPr>
        <xdr:cNvCxnSpPr/>
      </xdr:nvCxnSpPr>
      <xdr:spPr>
        <a:xfrm>
          <a:off x="10863943" y="5821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33</xdr:row>
      <xdr:rowOff>26670</xdr:rowOff>
    </xdr:from>
    <xdr:to>
      <xdr:col>43</xdr:col>
      <xdr:colOff>62049</xdr:colOff>
      <xdr:row>33</xdr:row>
      <xdr:rowOff>140970</xdr:rowOff>
    </xdr:to>
    <xdr:sp macro="" textlink="">
      <xdr:nvSpPr>
        <xdr:cNvPr id="23472" name="직사각형 23471">
          <a:extLst>
            <a:ext uri="{FF2B5EF4-FFF2-40B4-BE49-F238E27FC236}">
              <a16:creationId xmlns:a16="http://schemas.microsoft.com/office/drawing/2014/main" id="{98485C37-5722-45F1-968D-299D16873FC9}"/>
            </a:ext>
          </a:extLst>
        </xdr:cNvPr>
        <xdr:cNvSpPr/>
      </xdr:nvSpPr>
      <xdr:spPr>
        <a:xfrm>
          <a:off x="10863943" y="5596890"/>
          <a:ext cx="4757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33</xdr:row>
      <xdr:rowOff>83820</xdr:rowOff>
    </xdr:from>
    <xdr:to>
      <xdr:col>40</xdr:col>
      <xdr:colOff>20683</xdr:colOff>
      <xdr:row>33</xdr:row>
      <xdr:rowOff>83820</xdr:rowOff>
    </xdr:to>
    <xdr:cxnSp macro="">
      <xdr:nvCxnSpPr>
        <xdr:cNvPr id="23473" name="직선 화살표 연결선 23472">
          <a:extLst>
            <a:ext uri="{FF2B5EF4-FFF2-40B4-BE49-F238E27FC236}">
              <a16:creationId xmlns:a16="http://schemas.microsoft.com/office/drawing/2014/main" id="{F7EDEFBB-6A15-4727-8C0B-D3590351B98F}"/>
            </a:ext>
          </a:extLst>
        </xdr:cNvPr>
        <xdr:cNvCxnSpPr/>
      </xdr:nvCxnSpPr>
      <xdr:spPr>
        <a:xfrm>
          <a:off x="10863943" y="56540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32</xdr:row>
      <xdr:rowOff>26670</xdr:rowOff>
    </xdr:from>
    <xdr:to>
      <xdr:col>40</xdr:col>
      <xdr:colOff>20683</xdr:colOff>
      <xdr:row>32</xdr:row>
      <xdr:rowOff>140970</xdr:rowOff>
    </xdr:to>
    <xdr:sp macro="" textlink="">
      <xdr:nvSpPr>
        <xdr:cNvPr id="23474" name="직사각형 23473">
          <a:extLst>
            <a:ext uri="{FF2B5EF4-FFF2-40B4-BE49-F238E27FC236}">
              <a16:creationId xmlns:a16="http://schemas.microsoft.com/office/drawing/2014/main" id="{947AE0FF-5D86-4E84-8063-91141DCE7CF9}"/>
            </a:ext>
          </a:extLst>
        </xdr:cNvPr>
        <xdr:cNvSpPr/>
      </xdr:nvSpPr>
      <xdr:spPr>
        <a:xfrm>
          <a:off x="10719163" y="542925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32</xdr:row>
      <xdr:rowOff>83820</xdr:rowOff>
    </xdr:from>
    <xdr:to>
      <xdr:col>39</xdr:col>
      <xdr:colOff>20683</xdr:colOff>
      <xdr:row>32</xdr:row>
      <xdr:rowOff>83820</xdr:rowOff>
    </xdr:to>
    <xdr:cxnSp macro="">
      <xdr:nvCxnSpPr>
        <xdr:cNvPr id="23475" name="직선 화살표 연결선 23474">
          <a:extLst>
            <a:ext uri="{FF2B5EF4-FFF2-40B4-BE49-F238E27FC236}">
              <a16:creationId xmlns:a16="http://schemas.microsoft.com/office/drawing/2014/main" id="{61197D07-96A7-4AED-8A93-AE2313352E23}"/>
            </a:ext>
          </a:extLst>
        </xdr:cNvPr>
        <xdr:cNvCxnSpPr/>
      </xdr:nvCxnSpPr>
      <xdr:spPr>
        <a:xfrm>
          <a:off x="10719163" y="5486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31</xdr:row>
      <xdr:rowOff>26670</xdr:rowOff>
    </xdr:from>
    <xdr:to>
      <xdr:col>39</xdr:col>
      <xdr:colOff>20683</xdr:colOff>
      <xdr:row>31</xdr:row>
      <xdr:rowOff>140970</xdr:rowOff>
    </xdr:to>
    <xdr:sp macro="" textlink="">
      <xdr:nvSpPr>
        <xdr:cNvPr id="23476" name="직사각형 23475">
          <a:extLst>
            <a:ext uri="{FF2B5EF4-FFF2-40B4-BE49-F238E27FC236}">
              <a16:creationId xmlns:a16="http://schemas.microsoft.com/office/drawing/2014/main" id="{9802746A-7C95-40E8-8A97-E022C47E6F72}"/>
            </a:ext>
          </a:extLst>
        </xdr:cNvPr>
        <xdr:cNvSpPr/>
      </xdr:nvSpPr>
      <xdr:spPr>
        <a:xfrm>
          <a:off x="10429603" y="52616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31</xdr:row>
      <xdr:rowOff>83820</xdr:rowOff>
    </xdr:from>
    <xdr:to>
      <xdr:col>37</xdr:col>
      <xdr:colOff>20683</xdr:colOff>
      <xdr:row>31</xdr:row>
      <xdr:rowOff>83820</xdr:rowOff>
    </xdr:to>
    <xdr:cxnSp macro="">
      <xdr:nvCxnSpPr>
        <xdr:cNvPr id="23477" name="직선 화살표 연결선 23476">
          <a:extLst>
            <a:ext uri="{FF2B5EF4-FFF2-40B4-BE49-F238E27FC236}">
              <a16:creationId xmlns:a16="http://schemas.microsoft.com/office/drawing/2014/main" id="{FDE13162-574F-4C3B-9869-73FBA58B7E5C}"/>
            </a:ext>
          </a:extLst>
        </xdr:cNvPr>
        <xdr:cNvCxnSpPr/>
      </xdr:nvCxnSpPr>
      <xdr:spPr>
        <a:xfrm>
          <a:off x="10429603" y="5318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30</xdr:row>
      <xdr:rowOff>26670</xdr:rowOff>
    </xdr:from>
    <xdr:to>
      <xdr:col>37</xdr:col>
      <xdr:colOff>20683</xdr:colOff>
      <xdr:row>30</xdr:row>
      <xdr:rowOff>140970</xdr:rowOff>
    </xdr:to>
    <xdr:sp macro="" textlink="">
      <xdr:nvSpPr>
        <xdr:cNvPr id="23478" name="직사각형 23477">
          <a:extLst>
            <a:ext uri="{FF2B5EF4-FFF2-40B4-BE49-F238E27FC236}">
              <a16:creationId xmlns:a16="http://schemas.microsoft.com/office/drawing/2014/main" id="{EC6A7A6A-AFE9-48C8-91E8-4658545C5E81}"/>
            </a:ext>
          </a:extLst>
        </xdr:cNvPr>
        <xdr:cNvSpPr/>
      </xdr:nvSpPr>
      <xdr:spPr>
        <a:xfrm>
          <a:off x="10140043" y="509397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30</xdr:row>
      <xdr:rowOff>83820</xdr:rowOff>
    </xdr:from>
    <xdr:to>
      <xdr:col>35</xdr:col>
      <xdr:colOff>20683</xdr:colOff>
      <xdr:row>30</xdr:row>
      <xdr:rowOff>83820</xdr:rowOff>
    </xdr:to>
    <xdr:cxnSp macro="">
      <xdr:nvCxnSpPr>
        <xdr:cNvPr id="23479" name="직선 화살표 연결선 23478">
          <a:extLst>
            <a:ext uri="{FF2B5EF4-FFF2-40B4-BE49-F238E27FC236}">
              <a16:creationId xmlns:a16="http://schemas.microsoft.com/office/drawing/2014/main" id="{89658DB2-4726-44D6-A83D-FD4FD493967D}"/>
            </a:ext>
          </a:extLst>
        </xdr:cNvPr>
        <xdr:cNvCxnSpPr/>
      </xdr:nvCxnSpPr>
      <xdr:spPr>
        <a:xfrm>
          <a:off x="10140043" y="5151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29</xdr:row>
      <xdr:rowOff>26670</xdr:rowOff>
    </xdr:from>
    <xdr:to>
      <xdr:col>39</xdr:col>
      <xdr:colOff>20683</xdr:colOff>
      <xdr:row>29</xdr:row>
      <xdr:rowOff>140970</xdr:rowOff>
    </xdr:to>
    <xdr:sp macro="" textlink="">
      <xdr:nvSpPr>
        <xdr:cNvPr id="23480" name="직사각형 23479">
          <a:extLst>
            <a:ext uri="{FF2B5EF4-FFF2-40B4-BE49-F238E27FC236}">
              <a16:creationId xmlns:a16="http://schemas.microsoft.com/office/drawing/2014/main" id="{1096BAA6-F417-4CED-8484-D5C4D4EC1671}"/>
            </a:ext>
          </a:extLst>
        </xdr:cNvPr>
        <xdr:cNvSpPr/>
      </xdr:nvSpPr>
      <xdr:spPr>
        <a:xfrm>
          <a:off x="10140043" y="492633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29</xdr:row>
      <xdr:rowOff>83820</xdr:rowOff>
    </xdr:from>
    <xdr:to>
      <xdr:col>35</xdr:col>
      <xdr:colOff>20683</xdr:colOff>
      <xdr:row>29</xdr:row>
      <xdr:rowOff>83820</xdr:rowOff>
    </xdr:to>
    <xdr:cxnSp macro="">
      <xdr:nvCxnSpPr>
        <xdr:cNvPr id="23481" name="직선 화살표 연결선 23480">
          <a:extLst>
            <a:ext uri="{FF2B5EF4-FFF2-40B4-BE49-F238E27FC236}">
              <a16:creationId xmlns:a16="http://schemas.microsoft.com/office/drawing/2014/main" id="{F6717FCE-01F9-4FC0-8FFE-23437794F41B}"/>
            </a:ext>
          </a:extLst>
        </xdr:cNvPr>
        <xdr:cNvCxnSpPr/>
      </xdr:nvCxnSpPr>
      <xdr:spPr>
        <a:xfrm>
          <a:off x="10140043" y="4983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28</xdr:row>
      <xdr:rowOff>26670</xdr:rowOff>
    </xdr:from>
    <xdr:to>
      <xdr:col>39</xdr:col>
      <xdr:colOff>20683</xdr:colOff>
      <xdr:row>28</xdr:row>
      <xdr:rowOff>140970</xdr:rowOff>
    </xdr:to>
    <xdr:sp macro="" textlink="">
      <xdr:nvSpPr>
        <xdr:cNvPr id="23482" name="직사각형 23481">
          <a:extLst>
            <a:ext uri="{FF2B5EF4-FFF2-40B4-BE49-F238E27FC236}">
              <a16:creationId xmlns:a16="http://schemas.microsoft.com/office/drawing/2014/main" id="{AA8D5046-11B1-4370-AE22-7037D8484AC3}"/>
            </a:ext>
          </a:extLst>
        </xdr:cNvPr>
        <xdr:cNvSpPr/>
      </xdr:nvSpPr>
      <xdr:spPr>
        <a:xfrm>
          <a:off x="10429603" y="475869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28</xdr:row>
      <xdr:rowOff>83820</xdr:rowOff>
    </xdr:from>
    <xdr:to>
      <xdr:col>37</xdr:col>
      <xdr:colOff>20683</xdr:colOff>
      <xdr:row>28</xdr:row>
      <xdr:rowOff>83820</xdr:rowOff>
    </xdr:to>
    <xdr:cxnSp macro="">
      <xdr:nvCxnSpPr>
        <xdr:cNvPr id="23483" name="직선 화살표 연결선 23482">
          <a:extLst>
            <a:ext uri="{FF2B5EF4-FFF2-40B4-BE49-F238E27FC236}">
              <a16:creationId xmlns:a16="http://schemas.microsoft.com/office/drawing/2014/main" id="{D5BF6D9C-F3DD-4809-A527-21D8CA9CB7FE}"/>
            </a:ext>
          </a:extLst>
        </xdr:cNvPr>
        <xdr:cNvCxnSpPr/>
      </xdr:nvCxnSpPr>
      <xdr:spPr>
        <a:xfrm>
          <a:off x="10429603" y="48158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27</xdr:row>
      <xdr:rowOff>26670</xdr:rowOff>
    </xdr:from>
    <xdr:to>
      <xdr:col>37</xdr:col>
      <xdr:colOff>20683</xdr:colOff>
      <xdr:row>27</xdr:row>
      <xdr:rowOff>140970</xdr:rowOff>
    </xdr:to>
    <xdr:sp macro="" textlink="">
      <xdr:nvSpPr>
        <xdr:cNvPr id="23484" name="직사각형 23483">
          <a:extLst>
            <a:ext uri="{FF2B5EF4-FFF2-40B4-BE49-F238E27FC236}">
              <a16:creationId xmlns:a16="http://schemas.microsoft.com/office/drawing/2014/main" id="{D5370F1C-78EF-41C8-AE23-FF5AB8B4C207}"/>
            </a:ext>
          </a:extLst>
        </xdr:cNvPr>
        <xdr:cNvSpPr/>
      </xdr:nvSpPr>
      <xdr:spPr>
        <a:xfrm>
          <a:off x="10140043" y="45910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27</xdr:row>
      <xdr:rowOff>83820</xdr:rowOff>
    </xdr:from>
    <xdr:to>
      <xdr:col>35</xdr:col>
      <xdr:colOff>20683</xdr:colOff>
      <xdr:row>27</xdr:row>
      <xdr:rowOff>83820</xdr:rowOff>
    </xdr:to>
    <xdr:cxnSp macro="">
      <xdr:nvCxnSpPr>
        <xdr:cNvPr id="23485" name="직선 화살표 연결선 23484">
          <a:extLst>
            <a:ext uri="{FF2B5EF4-FFF2-40B4-BE49-F238E27FC236}">
              <a16:creationId xmlns:a16="http://schemas.microsoft.com/office/drawing/2014/main" id="{37FE8053-9956-4AED-9103-B73ABFCBC6FB}"/>
            </a:ext>
          </a:extLst>
        </xdr:cNvPr>
        <xdr:cNvCxnSpPr/>
      </xdr:nvCxnSpPr>
      <xdr:spPr>
        <a:xfrm>
          <a:off x="10140043" y="4648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26</xdr:row>
      <xdr:rowOff>26670</xdr:rowOff>
    </xdr:from>
    <xdr:to>
      <xdr:col>39</xdr:col>
      <xdr:colOff>20683</xdr:colOff>
      <xdr:row>26</xdr:row>
      <xdr:rowOff>140970</xdr:rowOff>
    </xdr:to>
    <xdr:sp macro="" textlink="">
      <xdr:nvSpPr>
        <xdr:cNvPr id="23486" name="직사각형 23485">
          <a:extLst>
            <a:ext uri="{FF2B5EF4-FFF2-40B4-BE49-F238E27FC236}">
              <a16:creationId xmlns:a16="http://schemas.microsoft.com/office/drawing/2014/main" id="{10885BF4-7AC2-4A94-B050-37402464FF20}"/>
            </a:ext>
          </a:extLst>
        </xdr:cNvPr>
        <xdr:cNvSpPr/>
      </xdr:nvSpPr>
      <xdr:spPr>
        <a:xfrm>
          <a:off x="10140043" y="442341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26</xdr:row>
      <xdr:rowOff>83820</xdr:rowOff>
    </xdr:from>
    <xdr:to>
      <xdr:col>35</xdr:col>
      <xdr:colOff>20683</xdr:colOff>
      <xdr:row>26</xdr:row>
      <xdr:rowOff>83820</xdr:rowOff>
    </xdr:to>
    <xdr:cxnSp macro="">
      <xdr:nvCxnSpPr>
        <xdr:cNvPr id="23487" name="직선 화살표 연결선 23486">
          <a:extLst>
            <a:ext uri="{FF2B5EF4-FFF2-40B4-BE49-F238E27FC236}">
              <a16:creationId xmlns:a16="http://schemas.microsoft.com/office/drawing/2014/main" id="{BE832108-14ED-4202-9532-984EBCEA4959}"/>
            </a:ext>
          </a:extLst>
        </xdr:cNvPr>
        <xdr:cNvCxnSpPr/>
      </xdr:nvCxnSpPr>
      <xdr:spPr>
        <a:xfrm>
          <a:off x="10140043" y="44805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25</xdr:row>
      <xdr:rowOff>26670</xdr:rowOff>
    </xdr:from>
    <xdr:to>
      <xdr:col>42</xdr:col>
      <xdr:colOff>20683</xdr:colOff>
      <xdr:row>25</xdr:row>
      <xdr:rowOff>140970</xdr:rowOff>
    </xdr:to>
    <xdr:sp macro="" textlink="">
      <xdr:nvSpPr>
        <xdr:cNvPr id="23488" name="직사각형 23487">
          <a:extLst>
            <a:ext uri="{FF2B5EF4-FFF2-40B4-BE49-F238E27FC236}">
              <a16:creationId xmlns:a16="http://schemas.microsoft.com/office/drawing/2014/main" id="{45C634F6-2E55-4EDA-B6E3-327C2C8ED1B1}"/>
            </a:ext>
          </a:extLst>
        </xdr:cNvPr>
        <xdr:cNvSpPr/>
      </xdr:nvSpPr>
      <xdr:spPr>
        <a:xfrm>
          <a:off x="10429603" y="4255770"/>
          <a:ext cx="723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25</xdr:row>
      <xdr:rowOff>83820</xdr:rowOff>
    </xdr:from>
    <xdr:to>
      <xdr:col>37</xdr:col>
      <xdr:colOff>20683</xdr:colOff>
      <xdr:row>25</xdr:row>
      <xdr:rowOff>83820</xdr:rowOff>
    </xdr:to>
    <xdr:cxnSp macro="">
      <xdr:nvCxnSpPr>
        <xdr:cNvPr id="23489" name="직선 화살표 연결선 23488">
          <a:extLst>
            <a:ext uri="{FF2B5EF4-FFF2-40B4-BE49-F238E27FC236}">
              <a16:creationId xmlns:a16="http://schemas.microsoft.com/office/drawing/2014/main" id="{8EDB53E5-5427-40E5-90D7-BA31D410894B}"/>
            </a:ext>
          </a:extLst>
        </xdr:cNvPr>
        <xdr:cNvCxnSpPr/>
      </xdr:nvCxnSpPr>
      <xdr:spPr>
        <a:xfrm>
          <a:off x="10429603" y="43129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24</xdr:row>
      <xdr:rowOff>26670</xdr:rowOff>
    </xdr:from>
    <xdr:to>
      <xdr:col>41</xdr:col>
      <xdr:colOff>20683</xdr:colOff>
      <xdr:row>24</xdr:row>
      <xdr:rowOff>140970</xdr:rowOff>
    </xdr:to>
    <xdr:sp macro="" textlink="">
      <xdr:nvSpPr>
        <xdr:cNvPr id="23490" name="직사각형 23489">
          <a:extLst>
            <a:ext uri="{FF2B5EF4-FFF2-40B4-BE49-F238E27FC236}">
              <a16:creationId xmlns:a16="http://schemas.microsoft.com/office/drawing/2014/main" id="{F5E74259-CEC2-4D9F-882B-A9F7C0BCBB5D}"/>
            </a:ext>
          </a:extLst>
        </xdr:cNvPr>
        <xdr:cNvSpPr/>
      </xdr:nvSpPr>
      <xdr:spPr>
        <a:xfrm>
          <a:off x="10429603" y="4088130"/>
          <a:ext cx="579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24</xdr:row>
      <xdr:rowOff>83820</xdr:rowOff>
    </xdr:from>
    <xdr:to>
      <xdr:col>37</xdr:col>
      <xdr:colOff>20683</xdr:colOff>
      <xdr:row>24</xdr:row>
      <xdr:rowOff>83820</xdr:rowOff>
    </xdr:to>
    <xdr:cxnSp macro="">
      <xdr:nvCxnSpPr>
        <xdr:cNvPr id="23491" name="직선 화살표 연결선 23490">
          <a:extLst>
            <a:ext uri="{FF2B5EF4-FFF2-40B4-BE49-F238E27FC236}">
              <a16:creationId xmlns:a16="http://schemas.microsoft.com/office/drawing/2014/main" id="{D849EBC2-83CC-48DA-869E-2E9FEFD3DF24}"/>
            </a:ext>
          </a:extLst>
        </xdr:cNvPr>
        <xdr:cNvCxnSpPr/>
      </xdr:nvCxnSpPr>
      <xdr:spPr>
        <a:xfrm>
          <a:off x="10429603" y="41452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23</xdr:row>
      <xdr:rowOff>26670</xdr:rowOff>
    </xdr:from>
    <xdr:to>
      <xdr:col>41</xdr:col>
      <xdr:colOff>20683</xdr:colOff>
      <xdr:row>23</xdr:row>
      <xdr:rowOff>140970</xdr:rowOff>
    </xdr:to>
    <xdr:sp macro="" textlink="">
      <xdr:nvSpPr>
        <xdr:cNvPr id="23492" name="직사각형 23491">
          <a:extLst>
            <a:ext uri="{FF2B5EF4-FFF2-40B4-BE49-F238E27FC236}">
              <a16:creationId xmlns:a16="http://schemas.microsoft.com/office/drawing/2014/main" id="{188BBE50-A56A-4FE2-BE20-5CB28CAB35F7}"/>
            </a:ext>
          </a:extLst>
        </xdr:cNvPr>
        <xdr:cNvSpPr/>
      </xdr:nvSpPr>
      <xdr:spPr>
        <a:xfrm>
          <a:off x="10429603" y="3920490"/>
          <a:ext cx="579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23</xdr:row>
      <xdr:rowOff>83820</xdr:rowOff>
    </xdr:from>
    <xdr:to>
      <xdr:col>37</xdr:col>
      <xdr:colOff>20683</xdr:colOff>
      <xdr:row>23</xdr:row>
      <xdr:rowOff>83820</xdr:rowOff>
    </xdr:to>
    <xdr:cxnSp macro="">
      <xdr:nvCxnSpPr>
        <xdr:cNvPr id="23493" name="직선 화살표 연결선 23492">
          <a:extLst>
            <a:ext uri="{FF2B5EF4-FFF2-40B4-BE49-F238E27FC236}">
              <a16:creationId xmlns:a16="http://schemas.microsoft.com/office/drawing/2014/main" id="{1AC9DF0D-39D2-444B-9D3A-571E38BACD51}"/>
            </a:ext>
          </a:extLst>
        </xdr:cNvPr>
        <xdr:cNvCxnSpPr/>
      </xdr:nvCxnSpPr>
      <xdr:spPr>
        <a:xfrm>
          <a:off x="10429603" y="39776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22</xdr:row>
      <xdr:rowOff>26670</xdr:rowOff>
    </xdr:from>
    <xdr:to>
      <xdr:col>41</xdr:col>
      <xdr:colOff>20683</xdr:colOff>
      <xdr:row>22</xdr:row>
      <xdr:rowOff>140970</xdr:rowOff>
    </xdr:to>
    <xdr:sp macro="" textlink="">
      <xdr:nvSpPr>
        <xdr:cNvPr id="23494" name="직사각형 23493">
          <a:extLst>
            <a:ext uri="{FF2B5EF4-FFF2-40B4-BE49-F238E27FC236}">
              <a16:creationId xmlns:a16="http://schemas.microsoft.com/office/drawing/2014/main" id="{4053F8E4-9CD4-4AFA-A227-7808B6EF23A4}"/>
            </a:ext>
          </a:extLst>
        </xdr:cNvPr>
        <xdr:cNvSpPr/>
      </xdr:nvSpPr>
      <xdr:spPr>
        <a:xfrm>
          <a:off x="10429603" y="3752850"/>
          <a:ext cx="579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22</xdr:row>
      <xdr:rowOff>83820</xdr:rowOff>
    </xdr:from>
    <xdr:to>
      <xdr:col>37</xdr:col>
      <xdr:colOff>20683</xdr:colOff>
      <xdr:row>22</xdr:row>
      <xdr:rowOff>83820</xdr:rowOff>
    </xdr:to>
    <xdr:cxnSp macro="">
      <xdr:nvCxnSpPr>
        <xdr:cNvPr id="23495" name="직선 화살표 연결선 23494">
          <a:extLst>
            <a:ext uri="{FF2B5EF4-FFF2-40B4-BE49-F238E27FC236}">
              <a16:creationId xmlns:a16="http://schemas.microsoft.com/office/drawing/2014/main" id="{E0A5A596-38E4-44A6-97CA-E4F4CC15EE06}"/>
            </a:ext>
          </a:extLst>
        </xdr:cNvPr>
        <xdr:cNvCxnSpPr/>
      </xdr:nvCxnSpPr>
      <xdr:spPr>
        <a:xfrm>
          <a:off x="10429603" y="3810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21</xdr:row>
      <xdr:rowOff>26670</xdr:rowOff>
    </xdr:from>
    <xdr:to>
      <xdr:col>40</xdr:col>
      <xdr:colOff>103414</xdr:colOff>
      <xdr:row>21</xdr:row>
      <xdr:rowOff>140970</xdr:rowOff>
    </xdr:to>
    <xdr:sp macro="" textlink="">
      <xdr:nvSpPr>
        <xdr:cNvPr id="23496" name="직사각형 23495">
          <a:extLst>
            <a:ext uri="{FF2B5EF4-FFF2-40B4-BE49-F238E27FC236}">
              <a16:creationId xmlns:a16="http://schemas.microsoft.com/office/drawing/2014/main" id="{73D74088-84FB-415B-8132-BB14A8A17CF5}"/>
            </a:ext>
          </a:extLst>
        </xdr:cNvPr>
        <xdr:cNvSpPr/>
      </xdr:nvSpPr>
      <xdr:spPr>
        <a:xfrm>
          <a:off x="10429603" y="3585210"/>
          <a:ext cx="5170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21</xdr:row>
      <xdr:rowOff>83820</xdr:rowOff>
    </xdr:from>
    <xdr:to>
      <xdr:col>37</xdr:col>
      <xdr:colOff>20683</xdr:colOff>
      <xdr:row>21</xdr:row>
      <xdr:rowOff>83820</xdr:rowOff>
    </xdr:to>
    <xdr:cxnSp macro="">
      <xdr:nvCxnSpPr>
        <xdr:cNvPr id="23497" name="직선 화살표 연결선 23496">
          <a:extLst>
            <a:ext uri="{FF2B5EF4-FFF2-40B4-BE49-F238E27FC236}">
              <a16:creationId xmlns:a16="http://schemas.microsoft.com/office/drawing/2014/main" id="{35DC3B59-D7FE-4D64-8104-D7EA2FF901C1}"/>
            </a:ext>
          </a:extLst>
        </xdr:cNvPr>
        <xdr:cNvCxnSpPr/>
      </xdr:nvCxnSpPr>
      <xdr:spPr>
        <a:xfrm>
          <a:off x="10429603" y="36423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26670</xdr:rowOff>
    </xdr:from>
    <xdr:to>
      <xdr:col>37</xdr:col>
      <xdr:colOff>20683</xdr:colOff>
      <xdr:row>20</xdr:row>
      <xdr:rowOff>140970</xdr:rowOff>
    </xdr:to>
    <xdr:sp macro="" textlink="">
      <xdr:nvSpPr>
        <xdr:cNvPr id="23498" name="직사각형 23497">
          <a:extLst>
            <a:ext uri="{FF2B5EF4-FFF2-40B4-BE49-F238E27FC236}">
              <a16:creationId xmlns:a16="http://schemas.microsoft.com/office/drawing/2014/main" id="{2EE8C95C-E5D5-40FE-8FF2-BD1C536B5BBC}"/>
            </a:ext>
          </a:extLst>
        </xdr:cNvPr>
        <xdr:cNvSpPr/>
      </xdr:nvSpPr>
      <xdr:spPr>
        <a:xfrm>
          <a:off x="10140043" y="341757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83820</xdr:rowOff>
    </xdr:from>
    <xdr:to>
      <xdr:col>35</xdr:col>
      <xdr:colOff>20683</xdr:colOff>
      <xdr:row>20</xdr:row>
      <xdr:rowOff>83820</xdr:rowOff>
    </xdr:to>
    <xdr:cxnSp macro="">
      <xdr:nvCxnSpPr>
        <xdr:cNvPr id="23499" name="직선 화살표 연결선 23498">
          <a:extLst>
            <a:ext uri="{FF2B5EF4-FFF2-40B4-BE49-F238E27FC236}">
              <a16:creationId xmlns:a16="http://schemas.microsoft.com/office/drawing/2014/main" id="{1CAD9CA5-5E74-4603-B14E-4E68DE338E33}"/>
            </a:ext>
          </a:extLst>
        </xdr:cNvPr>
        <xdr:cNvCxnSpPr/>
      </xdr:nvCxnSpPr>
      <xdr:spPr>
        <a:xfrm>
          <a:off x="10140043" y="3474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26670</xdr:rowOff>
    </xdr:from>
    <xdr:to>
      <xdr:col>42</xdr:col>
      <xdr:colOff>20683</xdr:colOff>
      <xdr:row>19</xdr:row>
      <xdr:rowOff>140970</xdr:rowOff>
    </xdr:to>
    <xdr:sp macro="" textlink="">
      <xdr:nvSpPr>
        <xdr:cNvPr id="23500" name="직사각형 23499">
          <a:extLst>
            <a:ext uri="{FF2B5EF4-FFF2-40B4-BE49-F238E27FC236}">
              <a16:creationId xmlns:a16="http://schemas.microsoft.com/office/drawing/2014/main" id="{2EDE8E6B-9886-463D-9F6F-A356EE19DB49}"/>
            </a:ext>
          </a:extLst>
        </xdr:cNvPr>
        <xdr:cNvSpPr/>
      </xdr:nvSpPr>
      <xdr:spPr>
        <a:xfrm>
          <a:off x="10140043" y="324993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19</xdr:row>
      <xdr:rowOff>83820</xdr:rowOff>
    </xdr:from>
    <xdr:to>
      <xdr:col>35</xdr:col>
      <xdr:colOff>20683</xdr:colOff>
      <xdr:row>19</xdr:row>
      <xdr:rowOff>83820</xdr:rowOff>
    </xdr:to>
    <xdr:cxnSp macro="">
      <xdr:nvCxnSpPr>
        <xdr:cNvPr id="23501" name="직선 화살표 연결선 23500">
          <a:extLst>
            <a:ext uri="{FF2B5EF4-FFF2-40B4-BE49-F238E27FC236}">
              <a16:creationId xmlns:a16="http://schemas.microsoft.com/office/drawing/2014/main" id="{68E38B00-50EE-4A4E-884F-CB80A1ED1C87}"/>
            </a:ext>
          </a:extLst>
        </xdr:cNvPr>
        <xdr:cNvCxnSpPr/>
      </xdr:nvCxnSpPr>
      <xdr:spPr>
        <a:xfrm>
          <a:off x="10140043" y="3307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18</xdr:row>
      <xdr:rowOff>26670</xdr:rowOff>
    </xdr:from>
    <xdr:to>
      <xdr:col>42</xdr:col>
      <xdr:colOff>20683</xdr:colOff>
      <xdr:row>18</xdr:row>
      <xdr:rowOff>140970</xdr:rowOff>
    </xdr:to>
    <xdr:sp macro="" textlink="">
      <xdr:nvSpPr>
        <xdr:cNvPr id="23502" name="직사각형 23501">
          <a:extLst>
            <a:ext uri="{FF2B5EF4-FFF2-40B4-BE49-F238E27FC236}">
              <a16:creationId xmlns:a16="http://schemas.microsoft.com/office/drawing/2014/main" id="{2B943924-5F8B-41C4-8050-B230675AA5E4}"/>
            </a:ext>
          </a:extLst>
        </xdr:cNvPr>
        <xdr:cNvSpPr/>
      </xdr:nvSpPr>
      <xdr:spPr>
        <a:xfrm>
          <a:off x="10140043" y="308229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83820</xdr:rowOff>
    </xdr:from>
    <xdr:to>
      <xdr:col>35</xdr:col>
      <xdr:colOff>20683</xdr:colOff>
      <xdr:row>18</xdr:row>
      <xdr:rowOff>83820</xdr:rowOff>
    </xdr:to>
    <xdr:cxnSp macro="">
      <xdr:nvCxnSpPr>
        <xdr:cNvPr id="23503" name="직선 화살표 연결선 23502">
          <a:extLst>
            <a:ext uri="{FF2B5EF4-FFF2-40B4-BE49-F238E27FC236}">
              <a16:creationId xmlns:a16="http://schemas.microsoft.com/office/drawing/2014/main" id="{D8613AA7-33AC-4999-A25A-C0D00EBE9098}"/>
            </a:ext>
          </a:extLst>
        </xdr:cNvPr>
        <xdr:cNvCxnSpPr/>
      </xdr:nvCxnSpPr>
      <xdr:spPr>
        <a:xfrm>
          <a:off x="10140043" y="31394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17</xdr:row>
      <xdr:rowOff>26670</xdr:rowOff>
    </xdr:from>
    <xdr:to>
      <xdr:col>35</xdr:col>
      <xdr:colOff>20683</xdr:colOff>
      <xdr:row>17</xdr:row>
      <xdr:rowOff>140970</xdr:rowOff>
    </xdr:to>
    <xdr:sp macro="" textlink="">
      <xdr:nvSpPr>
        <xdr:cNvPr id="23504" name="직사각형 23503">
          <a:extLst>
            <a:ext uri="{FF2B5EF4-FFF2-40B4-BE49-F238E27FC236}">
              <a16:creationId xmlns:a16="http://schemas.microsoft.com/office/drawing/2014/main" id="{354CA3AA-6D4A-4E94-8095-ABC990F7F6E8}"/>
            </a:ext>
          </a:extLst>
        </xdr:cNvPr>
        <xdr:cNvSpPr/>
      </xdr:nvSpPr>
      <xdr:spPr>
        <a:xfrm>
          <a:off x="9850483" y="29146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17</xdr:row>
      <xdr:rowOff>83820</xdr:rowOff>
    </xdr:from>
    <xdr:to>
      <xdr:col>33</xdr:col>
      <xdr:colOff>20683</xdr:colOff>
      <xdr:row>17</xdr:row>
      <xdr:rowOff>83820</xdr:rowOff>
    </xdr:to>
    <xdr:cxnSp macro="">
      <xdr:nvCxnSpPr>
        <xdr:cNvPr id="23505" name="직선 화살표 연결선 23504">
          <a:extLst>
            <a:ext uri="{FF2B5EF4-FFF2-40B4-BE49-F238E27FC236}">
              <a16:creationId xmlns:a16="http://schemas.microsoft.com/office/drawing/2014/main" id="{0BE38CB4-1506-4044-A09F-554115C18C0C}"/>
            </a:ext>
          </a:extLst>
        </xdr:cNvPr>
        <xdr:cNvCxnSpPr/>
      </xdr:nvCxnSpPr>
      <xdr:spPr>
        <a:xfrm>
          <a:off x="9850483" y="297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xdr:row>
      <xdr:rowOff>26670</xdr:rowOff>
    </xdr:from>
    <xdr:to>
      <xdr:col>33</xdr:col>
      <xdr:colOff>20683</xdr:colOff>
      <xdr:row>16</xdr:row>
      <xdr:rowOff>140970</xdr:rowOff>
    </xdr:to>
    <xdr:sp macro="" textlink="">
      <xdr:nvSpPr>
        <xdr:cNvPr id="23506" name="직사각형 23505">
          <a:extLst>
            <a:ext uri="{FF2B5EF4-FFF2-40B4-BE49-F238E27FC236}">
              <a16:creationId xmlns:a16="http://schemas.microsoft.com/office/drawing/2014/main" id="{E698FECD-0742-4F9D-938E-E82702E8D139}"/>
            </a:ext>
          </a:extLst>
        </xdr:cNvPr>
        <xdr:cNvSpPr/>
      </xdr:nvSpPr>
      <xdr:spPr>
        <a:xfrm>
          <a:off x="9560923" y="27470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xdr:row>
      <xdr:rowOff>83820</xdr:rowOff>
    </xdr:from>
    <xdr:to>
      <xdr:col>31</xdr:col>
      <xdr:colOff>20683</xdr:colOff>
      <xdr:row>16</xdr:row>
      <xdr:rowOff>83820</xdr:rowOff>
    </xdr:to>
    <xdr:cxnSp macro="">
      <xdr:nvCxnSpPr>
        <xdr:cNvPr id="23507" name="직선 화살표 연결선 23506">
          <a:extLst>
            <a:ext uri="{FF2B5EF4-FFF2-40B4-BE49-F238E27FC236}">
              <a16:creationId xmlns:a16="http://schemas.microsoft.com/office/drawing/2014/main" id="{36C3438A-38B6-4DA3-855D-4C70A49329B8}"/>
            </a:ext>
          </a:extLst>
        </xdr:cNvPr>
        <xdr:cNvCxnSpPr/>
      </xdr:nvCxnSpPr>
      <xdr:spPr>
        <a:xfrm>
          <a:off x="9560923" y="28041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15</xdr:row>
      <xdr:rowOff>26670</xdr:rowOff>
    </xdr:from>
    <xdr:to>
      <xdr:col>35</xdr:col>
      <xdr:colOff>20683</xdr:colOff>
      <xdr:row>15</xdr:row>
      <xdr:rowOff>140970</xdr:rowOff>
    </xdr:to>
    <xdr:sp macro="" textlink="">
      <xdr:nvSpPr>
        <xdr:cNvPr id="23508" name="직사각형 23507">
          <a:extLst>
            <a:ext uri="{FF2B5EF4-FFF2-40B4-BE49-F238E27FC236}">
              <a16:creationId xmlns:a16="http://schemas.microsoft.com/office/drawing/2014/main" id="{57C39423-38ED-413C-A003-28D455A6D028}"/>
            </a:ext>
          </a:extLst>
        </xdr:cNvPr>
        <xdr:cNvSpPr/>
      </xdr:nvSpPr>
      <xdr:spPr>
        <a:xfrm>
          <a:off x="9560923" y="257937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15</xdr:row>
      <xdr:rowOff>83820</xdr:rowOff>
    </xdr:from>
    <xdr:to>
      <xdr:col>31</xdr:col>
      <xdr:colOff>20683</xdr:colOff>
      <xdr:row>15</xdr:row>
      <xdr:rowOff>83820</xdr:rowOff>
    </xdr:to>
    <xdr:cxnSp macro="">
      <xdr:nvCxnSpPr>
        <xdr:cNvPr id="23509" name="직선 화살표 연결선 23508">
          <a:extLst>
            <a:ext uri="{FF2B5EF4-FFF2-40B4-BE49-F238E27FC236}">
              <a16:creationId xmlns:a16="http://schemas.microsoft.com/office/drawing/2014/main" id="{96618C5F-078E-4F74-908F-44CD7D978B74}"/>
            </a:ext>
          </a:extLst>
        </xdr:cNvPr>
        <xdr:cNvCxnSpPr/>
      </xdr:nvCxnSpPr>
      <xdr:spPr>
        <a:xfrm>
          <a:off x="9560923" y="26365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14</xdr:row>
      <xdr:rowOff>26670</xdr:rowOff>
    </xdr:from>
    <xdr:to>
      <xdr:col>35</xdr:col>
      <xdr:colOff>20683</xdr:colOff>
      <xdr:row>14</xdr:row>
      <xdr:rowOff>140970</xdr:rowOff>
    </xdr:to>
    <xdr:sp macro="" textlink="">
      <xdr:nvSpPr>
        <xdr:cNvPr id="23510" name="직사각형 23509">
          <a:extLst>
            <a:ext uri="{FF2B5EF4-FFF2-40B4-BE49-F238E27FC236}">
              <a16:creationId xmlns:a16="http://schemas.microsoft.com/office/drawing/2014/main" id="{8EEFEBEE-B435-426C-8AA7-04D08605FF3F}"/>
            </a:ext>
          </a:extLst>
        </xdr:cNvPr>
        <xdr:cNvSpPr/>
      </xdr:nvSpPr>
      <xdr:spPr>
        <a:xfrm>
          <a:off x="9850483" y="241173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14</xdr:row>
      <xdr:rowOff>83820</xdr:rowOff>
    </xdr:from>
    <xdr:to>
      <xdr:col>33</xdr:col>
      <xdr:colOff>20683</xdr:colOff>
      <xdr:row>14</xdr:row>
      <xdr:rowOff>83820</xdr:rowOff>
    </xdr:to>
    <xdr:cxnSp macro="">
      <xdr:nvCxnSpPr>
        <xdr:cNvPr id="23511" name="직선 화살표 연결선 23510">
          <a:extLst>
            <a:ext uri="{FF2B5EF4-FFF2-40B4-BE49-F238E27FC236}">
              <a16:creationId xmlns:a16="http://schemas.microsoft.com/office/drawing/2014/main" id="{749EDB05-61D8-4126-B207-FECE028D69B5}"/>
            </a:ext>
          </a:extLst>
        </xdr:cNvPr>
        <xdr:cNvCxnSpPr/>
      </xdr:nvCxnSpPr>
      <xdr:spPr>
        <a:xfrm>
          <a:off x="9850483" y="2468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xdr:row>
      <xdr:rowOff>26670</xdr:rowOff>
    </xdr:from>
    <xdr:to>
      <xdr:col>33</xdr:col>
      <xdr:colOff>20683</xdr:colOff>
      <xdr:row>13</xdr:row>
      <xdr:rowOff>140970</xdr:rowOff>
    </xdr:to>
    <xdr:sp macro="" textlink="">
      <xdr:nvSpPr>
        <xdr:cNvPr id="23512" name="직사각형 23511">
          <a:extLst>
            <a:ext uri="{FF2B5EF4-FFF2-40B4-BE49-F238E27FC236}">
              <a16:creationId xmlns:a16="http://schemas.microsoft.com/office/drawing/2014/main" id="{92A202A8-C635-4871-9984-04B0880EBE01}"/>
            </a:ext>
          </a:extLst>
        </xdr:cNvPr>
        <xdr:cNvSpPr/>
      </xdr:nvSpPr>
      <xdr:spPr>
        <a:xfrm>
          <a:off x="9560923" y="224409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xdr:row>
      <xdr:rowOff>83820</xdr:rowOff>
    </xdr:from>
    <xdr:to>
      <xdr:col>31</xdr:col>
      <xdr:colOff>20683</xdr:colOff>
      <xdr:row>13</xdr:row>
      <xdr:rowOff>83820</xdr:rowOff>
    </xdr:to>
    <xdr:cxnSp macro="">
      <xdr:nvCxnSpPr>
        <xdr:cNvPr id="23513" name="직선 화살표 연결선 23512">
          <a:extLst>
            <a:ext uri="{FF2B5EF4-FFF2-40B4-BE49-F238E27FC236}">
              <a16:creationId xmlns:a16="http://schemas.microsoft.com/office/drawing/2014/main" id="{D9E07750-34BE-4331-BBCC-1B22BB482A88}"/>
            </a:ext>
          </a:extLst>
        </xdr:cNvPr>
        <xdr:cNvCxnSpPr/>
      </xdr:nvCxnSpPr>
      <xdr:spPr>
        <a:xfrm>
          <a:off x="9560923" y="23012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26670</xdr:rowOff>
    </xdr:from>
    <xdr:to>
      <xdr:col>35</xdr:col>
      <xdr:colOff>20683</xdr:colOff>
      <xdr:row>12</xdr:row>
      <xdr:rowOff>140970</xdr:rowOff>
    </xdr:to>
    <xdr:sp macro="" textlink="">
      <xdr:nvSpPr>
        <xdr:cNvPr id="23514" name="직사각형 23513">
          <a:extLst>
            <a:ext uri="{FF2B5EF4-FFF2-40B4-BE49-F238E27FC236}">
              <a16:creationId xmlns:a16="http://schemas.microsoft.com/office/drawing/2014/main" id="{54FBCA47-7F4B-47C1-9CDC-991C83256A19}"/>
            </a:ext>
          </a:extLst>
        </xdr:cNvPr>
        <xdr:cNvSpPr/>
      </xdr:nvSpPr>
      <xdr:spPr>
        <a:xfrm>
          <a:off x="9560923" y="207645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83820</xdr:rowOff>
    </xdr:from>
    <xdr:to>
      <xdr:col>31</xdr:col>
      <xdr:colOff>20683</xdr:colOff>
      <xdr:row>12</xdr:row>
      <xdr:rowOff>83820</xdr:rowOff>
    </xdr:to>
    <xdr:cxnSp macro="">
      <xdr:nvCxnSpPr>
        <xdr:cNvPr id="23515" name="직선 화살표 연결선 23514">
          <a:extLst>
            <a:ext uri="{FF2B5EF4-FFF2-40B4-BE49-F238E27FC236}">
              <a16:creationId xmlns:a16="http://schemas.microsoft.com/office/drawing/2014/main" id="{E0A9838B-7806-40C0-9B58-525D1C2BDE94}"/>
            </a:ext>
          </a:extLst>
        </xdr:cNvPr>
        <xdr:cNvCxnSpPr/>
      </xdr:nvCxnSpPr>
      <xdr:spPr>
        <a:xfrm>
          <a:off x="9560923" y="213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11</xdr:row>
      <xdr:rowOff>26670</xdr:rowOff>
    </xdr:from>
    <xdr:to>
      <xdr:col>35</xdr:col>
      <xdr:colOff>20683</xdr:colOff>
      <xdr:row>11</xdr:row>
      <xdr:rowOff>140970</xdr:rowOff>
    </xdr:to>
    <xdr:sp macro="" textlink="">
      <xdr:nvSpPr>
        <xdr:cNvPr id="23516" name="직사각형 23515">
          <a:extLst>
            <a:ext uri="{FF2B5EF4-FFF2-40B4-BE49-F238E27FC236}">
              <a16:creationId xmlns:a16="http://schemas.microsoft.com/office/drawing/2014/main" id="{C63CFC41-2527-4915-9AC6-78F5C5388854}"/>
            </a:ext>
          </a:extLst>
        </xdr:cNvPr>
        <xdr:cNvSpPr/>
      </xdr:nvSpPr>
      <xdr:spPr>
        <a:xfrm>
          <a:off x="9850483" y="19088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11</xdr:row>
      <xdr:rowOff>83820</xdr:rowOff>
    </xdr:from>
    <xdr:to>
      <xdr:col>33</xdr:col>
      <xdr:colOff>20683</xdr:colOff>
      <xdr:row>11</xdr:row>
      <xdr:rowOff>83820</xdr:rowOff>
    </xdr:to>
    <xdr:cxnSp macro="">
      <xdr:nvCxnSpPr>
        <xdr:cNvPr id="23517" name="직선 화살표 연결선 23516">
          <a:extLst>
            <a:ext uri="{FF2B5EF4-FFF2-40B4-BE49-F238E27FC236}">
              <a16:creationId xmlns:a16="http://schemas.microsoft.com/office/drawing/2014/main" id="{3ACF28D5-1B87-46D5-916A-E2F66A7A6084}"/>
            </a:ext>
          </a:extLst>
        </xdr:cNvPr>
        <xdr:cNvCxnSpPr/>
      </xdr:nvCxnSpPr>
      <xdr:spPr>
        <a:xfrm>
          <a:off x="9850483" y="1965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10</xdr:row>
      <xdr:rowOff>26670</xdr:rowOff>
    </xdr:from>
    <xdr:to>
      <xdr:col>33</xdr:col>
      <xdr:colOff>20683</xdr:colOff>
      <xdr:row>10</xdr:row>
      <xdr:rowOff>140970</xdr:rowOff>
    </xdr:to>
    <xdr:sp macro="" textlink="">
      <xdr:nvSpPr>
        <xdr:cNvPr id="23518" name="직사각형 23517">
          <a:extLst>
            <a:ext uri="{FF2B5EF4-FFF2-40B4-BE49-F238E27FC236}">
              <a16:creationId xmlns:a16="http://schemas.microsoft.com/office/drawing/2014/main" id="{0BE9F7C0-E213-40DC-9FBF-F1E44A881464}"/>
            </a:ext>
          </a:extLst>
        </xdr:cNvPr>
        <xdr:cNvSpPr/>
      </xdr:nvSpPr>
      <xdr:spPr>
        <a:xfrm>
          <a:off x="9705703" y="174117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10</xdr:row>
      <xdr:rowOff>83820</xdr:rowOff>
    </xdr:from>
    <xdr:to>
      <xdr:col>32</xdr:col>
      <xdr:colOff>20683</xdr:colOff>
      <xdr:row>10</xdr:row>
      <xdr:rowOff>83820</xdr:rowOff>
    </xdr:to>
    <xdr:cxnSp macro="">
      <xdr:nvCxnSpPr>
        <xdr:cNvPr id="23519" name="직선 화살표 연결선 23518">
          <a:extLst>
            <a:ext uri="{FF2B5EF4-FFF2-40B4-BE49-F238E27FC236}">
              <a16:creationId xmlns:a16="http://schemas.microsoft.com/office/drawing/2014/main" id="{25D435D5-FA3D-4897-B308-08622BE11E29}"/>
            </a:ext>
          </a:extLst>
        </xdr:cNvPr>
        <xdr:cNvCxnSpPr/>
      </xdr:nvCxnSpPr>
      <xdr:spPr>
        <a:xfrm>
          <a:off x="9705703" y="1798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26670</xdr:rowOff>
    </xdr:from>
    <xdr:to>
      <xdr:col>32</xdr:col>
      <xdr:colOff>20683</xdr:colOff>
      <xdr:row>9</xdr:row>
      <xdr:rowOff>140970</xdr:rowOff>
    </xdr:to>
    <xdr:sp macro="" textlink="">
      <xdr:nvSpPr>
        <xdr:cNvPr id="23520" name="직사각형 23519">
          <a:extLst>
            <a:ext uri="{FF2B5EF4-FFF2-40B4-BE49-F238E27FC236}">
              <a16:creationId xmlns:a16="http://schemas.microsoft.com/office/drawing/2014/main" id="{4BAB7858-CF9A-44BA-A90F-EA48BE8F752F}"/>
            </a:ext>
          </a:extLst>
        </xdr:cNvPr>
        <xdr:cNvSpPr/>
      </xdr:nvSpPr>
      <xdr:spPr>
        <a:xfrm>
          <a:off x="9560923" y="15735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9</xdr:row>
      <xdr:rowOff>83820</xdr:rowOff>
    </xdr:from>
    <xdr:to>
      <xdr:col>31</xdr:col>
      <xdr:colOff>20683</xdr:colOff>
      <xdr:row>9</xdr:row>
      <xdr:rowOff>83820</xdr:rowOff>
    </xdr:to>
    <xdr:cxnSp macro="">
      <xdr:nvCxnSpPr>
        <xdr:cNvPr id="23521" name="직선 화살표 연결선 23520">
          <a:extLst>
            <a:ext uri="{FF2B5EF4-FFF2-40B4-BE49-F238E27FC236}">
              <a16:creationId xmlns:a16="http://schemas.microsoft.com/office/drawing/2014/main" id="{BB1CBCD2-9077-4CED-9F87-B847BF143E74}"/>
            </a:ext>
          </a:extLst>
        </xdr:cNvPr>
        <xdr:cNvCxnSpPr/>
      </xdr:nvCxnSpPr>
      <xdr:spPr>
        <a:xfrm>
          <a:off x="9560923" y="1630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8</xdr:row>
      <xdr:rowOff>26670</xdr:rowOff>
    </xdr:from>
    <xdr:to>
      <xdr:col>35</xdr:col>
      <xdr:colOff>20683</xdr:colOff>
      <xdr:row>8</xdr:row>
      <xdr:rowOff>140970</xdr:rowOff>
    </xdr:to>
    <xdr:sp macro="" textlink="">
      <xdr:nvSpPr>
        <xdr:cNvPr id="23522" name="직사각형 23521">
          <a:extLst>
            <a:ext uri="{FF2B5EF4-FFF2-40B4-BE49-F238E27FC236}">
              <a16:creationId xmlns:a16="http://schemas.microsoft.com/office/drawing/2014/main" id="{F23FD6F5-2924-4DF2-ABF9-D5842C35B120}"/>
            </a:ext>
          </a:extLst>
        </xdr:cNvPr>
        <xdr:cNvSpPr/>
      </xdr:nvSpPr>
      <xdr:spPr>
        <a:xfrm>
          <a:off x="9560923" y="140589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8</xdr:row>
      <xdr:rowOff>83820</xdr:rowOff>
    </xdr:from>
    <xdr:to>
      <xdr:col>31</xdr:col>
      <xdr:colOff>20683</xdr:colOff>
      <xdr:row>8</xdr:row>
      <xdr:rowOff>83820</xdr:rowOff>
    </xdr:to>
    <xdr:cxnSp macro="">
      <xdr:nvCxnSpPr>
        <xdr:cNvPr id="23523" name="직선 화살표 연결선 23522">
          <a:extLst>
            <a:ext uri="{FF2B5EF4-FFF2-40B4-BE49-F238E27FC236}">
              <a16:creationId xmlns:a16="http://schemas.microsoft.com/office/drawing/2014/main" id="{FC0A7FA0-3A9C-44A8-89A0-32CE0EF8BCC7}"/>
            </a:ext>
          </a:extLst>
        </xdr:cNvPr>
        <xdr:cNvCxnSpPr/>
      </xdr:nvCxnSpPr>
      <xdr:spPr>
        <a:xfrm>
          <a:off x="9560923" y="14630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7</xdr:row>
      <xdr:rowOff>26670</xdr:rowOff>
    </xdr:from>
    <xdr:to>
      <xdr:col>35</xdr:col>
      <xdr:colOff>20683</xdr:colOff>
      <xdr:row>7</xdr:row>
      <xdr:rowOff>140970</xdr:rowOff>
    </xdr:to>
    <xdr:sp macro="" textlink="">
      <xdr:nvSpPr>
        <xdr:cNvPr id="23524" name="직사각형 23523">
          <a:extLst>
            <a:ext uri="{FF2B5EF4-FFF2-40B4-BE49-F238E27FC236}">
              <a16:creationId xmlns:a16="http://schemas.microsoft.com/office/drawing/2014/main" id="{0099BF47-E6A9-4233-8B4C-9568052B8C57}"/>
            </a:ext>
          </a:extLst>
        </xdr:cNvPr>
        <xdr:cNvSpPr/>
      </xdr:nvSpPr>
      <xdr:spPr>
        <a:xfrm>
          <a:off x="9560923" y="123825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7</xdr:row>
      <xdr:rowOff>83820</xdr:rowOff>
    </xdr:from>
    <xdr:to>
      <xdr:col>31</xdr:col>
      <xdr:colOff>20683</xdr:colOff>
      <xdr:row>7</xdr:row>
      <xdr:rowOff>83820</xdr:rowOff>
    </xdr:to>
    <xdr:cxnSp macro="">
      <xdr:nvCxnSpPr>
        <xdr:cNvPr id="23525" name="직선 화살표 연결선 23524">
          <a:extLst>
            <a:ext uri="{FF2B5EF4-FFF2-40B4-BE49-F238E27FC236}">
              <a16:creationId xmlns:a16="http://schemas.microsoft.com/office/drawing/2014/main" id="{85B56934-1B63-4542-91F1-7F1E48CE64E6}"/>
            </a:ext>
          </a:extLst>
        </xdr:cNvPr>
        <xdr:cNvCxnSpPr/>
      </xdr:nvCxnSpPr>
      <xdr:spPr>
        <a:xfrm>
          <a:off x="9560923" y="129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82731</xdr:colOff>
      <xdr:row>6</xdr:row>
      <xdr:rowOff>26670</xdr:rowOff>
    </xdr:from>
    <xdr:to>
      <xdr:col>31</xdr:col>
      <xdr:colOff>20683</xdr:colOff>
      <xdr:row>6</xdr:row>
      <xdr:rowOff>140970</xdr:rowOff>
    </xdr:to>
    <xdr:sp macro="" textlink="">
      <xdr:nvSpPr>
        <xdr:cNvPr id="23526" name="직사각형 23525">
          <a:extLst>
            <a:ext uri="{FF2B5EF4-FFF2-40B4-BE49-F238E27FC236}">
              <a16:creationId xmlns:a16="http://schemas.microsoft.com/office/drawing/2014/main" id="{59CF31DF-A9A1-4E6B-8765-0E83CDC2427F}"/>
            </a:ext>
          </a:extLst>
        </xdr:cNvPr>
        <xdr:cNvSpPr/>
      </xdr:nvSpPr>
      <xdr:spPr>
        <a:xfrm>
          <a:off x="9188631" y="1070610"/>
          <a:ext cx="3722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82731</xdr:colOff>
      <xdr:row>6</xdr:row>
      <xdr:rowOff>83820</xdr:rowOff>
    </xdr:from>
    <xdr:to>
      <xdr:col>28</xdr:col>
      <xdr:colOff>82731</xdr:colOff>
      <xdr:row>6</xdr:row>
      <xdr:rowOff>83820</xdr:rowOff>
    </xdr:to>
    <xdr:cxnSp macro="">
      <xdr:nvCxnSpPr>
        <xdr:cNvPr id="23527" name="직선 화살표 연결선 23526">
          <a:extLst>
            <a:ext uri="{FF2B5EF4-FFF2-40B4-BE49-F238E27FC236}">
              <a16:creationId xmlns:a16="http://schemas.microsoft.com/office/drawing/2014/main" id="{0B9ED686-F52E-4B8A-9494-00359F4FC45D}"/>
            </a:ext>
          </a:extLst>
        </xdr:cNvPr>
        <xdr:cNvCxnSpPr/>
      </xdr:nvCxnSpPr>
      <xdr:spPr>
        <a:xfrm>
          <a:off x="9188631" y="1127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82731</xdr:colOff>
      <xdr:row>5</xdr:row>
      <xdr:rowOff>26670</xdr:rowOff>
    </xdr:from>
    <xdr:to>
      <xdr:col>31</xdr:col>
      <xdr:colOff>20683</xdr:colOff>
      <xdr:row>5</xdr:row>
      <xdr:rowOff>140970</xdr:rowOff>
    </xdr:to>
    <xdr:sp macro="" textlink="">
      <xdr:nvSpPr>
        <xdr:cNvPr id="23528" name="직사각형 23527">
          <a:extLst>
            <a:ext uri="{FF2B5EF4-FFF2-40B4-BE49-F238E27FC236}">
              <a16:creationId xmlns:a16="http://schemas.microsoft.com/office/drawing/2014/main" id="{283984E1-D8AB-4E33-BBA6-684A16762EA7}"/>
            </a:ext>
          </a:extLst>
        </xdr:cNvPr>
        <xdr:cNvSpPr/>
      </xdr:nvSpPr>
      <xdr:spPr>
        <a:xfrm>
          <a:off x="9188631" y="90297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82731</xdr:colOff>
      <xdr:row>5</xdr:row>
      <xdr:rowOff>83820</xdr:rowOff>
    </xdr:from>
    <xdr:to>
      <xdr:col>28</xdr:col>
      <xdr:colOff>82731</xdr:colOff>
      <xdr:row>5</xdr:row>
      <xdr:rowOff>83820</xdr:rowOff>
    </xdr:to>
    <xdr:cxnSp macro="">
      <xdr:nvCxnSpPr>
        <xdr:cNvPr id="23529" name="직선 화살표 연결선 23528">
          <a:extLst>
            <a:ext uri="{FF2B5EF4-FFF2-40B4-BE49-F238E27FC236}">
              <a16:creationId xmlns:a16="http://schemas.microsoft.com/office/drawing/2014/main" id="{13E885D1-97DA-41C3-98F3-04662210D54B}"/>
            </a:ext>
          </a:extLst>
        </xdr:cNvPr>
        <xdr:cNvCxnSpPr/>
      </xdr:nvCxnSpPr>
      <xdr:spPr>
        <a:xfrm>
          <a:off x="9188631" y="960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964</v>
      </c>
      <c r="C8" s="101" t="s">
        <v>1077</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1072</v>
      </c>
      <c r="D11" s="99" t="s">
        <v>25</v>
      </c>
      <c r="E11" s="108">
        <v>1</v>
      </c>
      <c r="F11" s="109" t="s">
        <v>26</v>
      </c>
      <c r="G11" s="110">
        <v>43713</v>
      </c>
      <c r="H11" s="109" t="s">
        <v>27</v>
      </c>
      <c r="I11" s="110">
        <v>43816</v>
      </c>
      <c r="J11" s="102" t="s">
        <v>417</v>
      </c>
      <c r="K11" s="102" t="s">
        <v>1078</v>
      </c>
      <c r="L11" s="102" t="s">
        <v>414</v>
      </c>
      <c r="M11" s="102">
        <v>1</v>
      </c>
      <c r="N11" s="107" t="s">
        <v>28</v>
      </c>
      <c r="O11" s="99">
        <v>0</v>
      </c>
      <c r="P11" s="99" t="s">
        <v>29</v>
      </c>
      <c r="Q11" s="107" t="s">
        <v>1031</v>
      </c>
      <c r="R11" s="102" t="s">
        <v>419</v>
      </c>
      <c r="S11" s="102">
        <v>1</v>
      </c>
      <c r="T11" s="102" t="s">
        <v>424</v>
      </c>
      <c r="U11" s="102">
        <v>1</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962</v>
      </c>
      <c r="AE12" s="102">
        <v>1</v>
      </c>
    </row>
    <row r="13" spans="1:64">
      <c r="A13" s="101" t="s">
        <v>401</v>
      </c>
      <c r="B13" s="107" t="s">
        <v>30</v>
      </c>
      <c r="C13" s="99">
        <v>1</v>
      </c>
      <c r="D13" s="107" t="s">
        <v>31</v>
      </c>
      <c r="E13" s="99" t="s">
        <v>1032</v>
      </c>
      <c r="F13" s="99" t="s">
        <v>32</v>
      </c>
      <c r="G13" s="109" t="s">
        <v>970</v>
      </c>
      <c r="H13" s="109" t="s">
        <v>33</v>
      </c>
      <c r="I13" s="102" t="s">
        <v>970</v>
      </c>
    </row>
    <row r="14" spans="1:64">
      <c r="A14" s="101" t="s">
        <v>402</v>
      </c>
      <c r="B14" s="108" t="s">
        <v>34</v>
      </c>
      <c r="C14" s="108" t="s">
        <v>1042</v>
      </c>
      <c r="D14" s="108" t="s">
        <v>35</v>
      </c>
      <c r="E14" s="108" t="s">
        <v>1043</v>
      </c>
      <c r="F14" s="108" t="s">
        <v>36</v>
      </c>
      <c r="G14" s="108" t="s">
        <v>1025</v>
      </c>
      <c r="H14" s="108" t="s">
        <v>37</v>
      </c>
      <c r="I14" s="108" t="b">
        <v>0</v>
      </c>
      <c r="J14" s="108" t="s">
        <v>38</v>
      </c>
      <c r="K14" s="108" t="s">
        <v>1044</v>
      </c>
      <c r="L14" s="108" t="s">
        <v>39</v>
      </c>
      <c r="M14" s="108" t="s">
        <v>1026</v>
      </c>
      <c r="N14" s="108" t="s">
        <v>40</v>
      </c>
      <c r="O14" s="108" t="s">
        <v>1025</v>
      </c>
      <c r="P14" s="108" t="s">
        <v>41</v>
      </c>
      <c r="Q14" s="108" t="b">
        <v>0</v>
      </c>
      <c r="R14" s="108" t="s">
        <v>42</v>
      </c>
      <c r="S14" s="108" t="s">
        <v>1045</v>
      </c>
      <c r="T14" s="108" t="s">
        <v>43</v>
      </c>
      <c r="U14" s="108" t="s">
        <v>1046</v>
      </c>
      <c r="V14" s="108" t="s">
        <v>44</v>
      </c>
      <c r="W14" s="108" t="s">
        <v>1025</v>
      </c>
      <c r="X14" s="108" t="s">
        <v>45</v>
      </c>
      <c r="Y14" s="108" t="b">
        <v>1</v>
      </c>
      <c r="Z14" s="108" t="s">
        <v>46</v>
      </c>
      <c r="AA14" s="108" t="s">
        <v>1027</v>
      </c>
      <c r="AB14" s="108" t="s">
        <v>47</v>
      </c>
      <c r="AC14" s="108" t="s">
        <v>1047</v>
      </c>
      <c r="AD14" s="108" t="s">
        <v>48</v>
      </c>
      <c r="AE14" s="108" t="s">
        <v>1048</v>
      </c>
      <c r="AF14" s="108" t="s">
        <v>49</v>
      </c>
      <c r="AG14" s="108" t="b">
        <v>1</v>
      </c>
      <c r="AH14" s="108" t="s">
        <v>50</v>
      </c>
      <c r="AI14" s="108" t="s">
        <v>1033</v>
      </c>
      <c r="AJ14" s="108" t="s">
        <v>51</v>
      </c>
      <c r="AK14" s="108" t="s">
        <v>992</v>
      </c>
      <c r="AL14" s="108" t="s">
        <v>52</v>
      </c>
      <c r="AM14" s="108" t="s">
        <v>1049</v>
      </c>
      <c r="AN14" s="108" t="s">
        <v>53</v>
      </c>
      <c r="AO14" s="108" t="b">
        <v>0</v>
      </c>
      <c r="AP14" s="108" t="s">
        <v>54</v>
      </c>
      <c r="AQ14" s="108" t="s">
        <v>990</v>
      </c>
      <c r="AR14" s="108" t="s">
        <v>55</v>
      </c>
      <c r="AS14" s="108" t="s">
        <v>993</v>
      </c>
      <c r="AT14" s="108" t="s">
        <v>56</v>
      </c>
      <c r="AU14" s="108" t="s">
        <v>1034</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995</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908</v>
      </c>
      <c r="B1" s="124" t="s">
        <v>909</v>
      </c>
      <c r="C1" s="125" t="s">
        <v>910</v>
      </c>
      <c r="D1" s="125" t="s">
        <v>66</v>
      </c>
      <c r="E1" s="125" t="s">
        <v>67</v>
      </c>
    </row>
    <row r="2" spans="1:5" ht="79.2">
      <c r="A2" s="126" t="s">
        <v>1028</v>
      </c>
      <c r="B2" s="139">
        <v>1</v>
      </c>
      <c r="D2" s="127" t="s">
        <v>911</v>
      </c>
      <c r="E2" s="140" t="s">
        <v>587</v>
      </c>
    </row>
    <row r="3" spans="1:5" ht="112.5" customHeight="1">
      <c r="A3" s="128">
        <v>450</v>
      </c>
      <c r="B3" s="139">
        <v>2</v>
      </c>
      <c r="D3" s="127" t="s">
        <v>514</v>
      </c>
      <c r="E3" s="140" t="s">
        <v>912</v>
      </c>
    </row>
    <row r="4" spans="1:5" ht="52.8">
      <c r="B4" s="139">
        <v>3</v>
      </c>
      <c r="D4" s="127" t="s">
        <v>913</v>
      </c>
      <c r="E4" s="140" t="s">
        <v>588</v>
      </c>
    </row>
    <row r="5" spans="1:5" ht="52.8">
      <c r="B5" s="139">
        <v>4</v>
      </c>
      <c r="D5" s="127" t="s">
        <v>914</v>
      </c>
      <c r="E5" s="140" t="s">
        <v>589</v>
      </c>
    </row>
    <row r="6" spans="1:5" ht="52.8">
      <c r="B6" s="139">
        <v>5</v>
      </c>
      <c r="D6" s="127" t="s">
        <v>915</v>
      </c>
      <c r="E6" s="140" t="s">
        <v>590</v>
      </c>
    </row>
    <row r="7" spans="1:5" ht="39.6">
      <c r="B7" s="139">
        <v>6</v>
      </c>
      <c r="D7" s="127" t="s">
        <v>916</v>
      </c>
      <c r="E7" s="140" t="s">
        <v>591</v>
      </c>
    </row>
    <row r="8" spans="1:5">
      <c r="B8" s="139">
        <v>7</v>
      </c>
      <c r="D8" s="127" t="s">
        <v>902</v>
      </c>
      <c r="E8" s="140" t="s">
        <v>917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918</v>
      </c>
      <c r="D20" s="128" t="s">
        <v>919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920</v>
      </c>
      <c r="D46" s="127" t="s">
        <v>921</v>
      </c>
      <c r="E46" s="162" t="s">
        <v>922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923</v>
      </c>
      <c r="E61" s="128" t="s">
        <v>924</v>
      </c>
      <c r="F61" s="130"/>
    </row>
    <row r="62" spans="1:6" ht="14.4">
      <c r="B62" s="139">
        <v>154</v>
      </c>
      <c r="D62" s="127" t="s">
        <v>103</v>
      </c>
      <c r="E62" s="164" t="s">
        <v>906</v>
      </c>
    </row>
    <row r="63" spans="1:6" ht="14.4">
      <c r="B63" s="139">
        <v>155</v>
      </c>
      <c r="D63" s="127" t="s">
        <v>104</v>
      </c>
      <c r="E63" s="164" t="s">
        <v>925</v>
      </c>
    </row>
    <row r="64" spans="1:6">
      <c r="A64" s="131"/>
      <c r="B64" s="139">
        <v>156</v>
      </c>
      <c r="C64" s="138" t="s">
        <v>926</v>
      </c>
      <c r="D64" s="128" t="s">
        <v>927</v>
      </c>
      <c r="E64" s="128" t="s">
        <v>928</v>
      </c>
      <c r="F64" s="130"/>
    </row>
    <row r="65" spans="1:6">
      <c r="A65" s="131"/>
      <c r="B65" s="139">
        <v>157</v>
      </c>
      <c r="C65" s="138" t="s">
        <v>509</v>
      </c>
      <c r="D65" s="128" t="s">
        <v>929</v>
      </c>
      <c r="E65" s="128" t="s">
        <v>930</v>
      </c>
      <c r="F65" s="130"/>
    </row>
    <row r="66" spans="1:6">
      <c r="A66" s="131"/>
      <c r="B66" s="139">
        <v>158</v>
      </c>
      <c r="C66" s="138" t="s">
        <v>509</v>
      </c>
      <c r="D66" s="128" t="s">
        <v>931</v>
      </c>
      <c r="E66" s="128" t="s">
        <v>932</v>
      </c>
      <c r="F66" s="130"/>
    </row>
    <row r="67" spans="1:6">
      <c r="A67" s="131"/>
      <c r="B67" s="139">
        <v>159</v>
      </c>
      <c r="C67" s="138" t="s">
        <v>926</v>
      </c>
      <c r="D67" s="128" t="s">
        <v>903</v>
      </c>
      <c r="E67" s="128" t="s">
        <v>933</v>
      </c>
      <c r="F67" s="130"/>
    </row>
    <row r="68" spans="1:6">
      <c r="B68" s="139">
        <v>160</v>
      </c>
      <c r="D68" s="127" t="s">
        <v>105</v>
      </c>
      <c r="E68" s="140" t="s">
        <v>934</v>
      </c>
    </row>
    <row r="69" spans="1:6">
      <c r="B69" s="139">
        <v>161</v>
      </c>
      <c r="D69" s="127" t="s">
        <v>106</v>
      </c>
      <c r="E69" s="140" t="s">
        <v>935</v>
      </c>
    </row>
    <row r="70" spans="1:6">
      <c r="B70" s="139">
        <v>162</v>
      </c>
      <c r="D70" s="127" t="s">
        <v>936</v>
      </c>
      <c r="E70" s="140" t="s">
        <v>904</v>
      </c>
    </row>
    <row r="71" spans="1:6">
      <c r="B71" s="139">
        <v>163</v>
      </c>
      <c r="D71" s="127" t="s">
        <v>107</v>
      </c>
      <c r="E71" s="140" t="s">
        <v>937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938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991</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939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940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941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942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943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944</v>
      </c>
    </row>
    <row r="210" spans="2:5">
      <c r="B210" s="139">
        <v>302</v>
      </c>
      <c r="D210" s="127" t="s">
        <v>481</v>
      </c>
      <c r="E210" s="140" t="s">
        <v>945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920</v>
      </c>
      <c r="D221" s="127" t="s">
        <v>946</v>
      </c>
      <c r="E221" s="162" t="s">
        <v>947</v>
      </c>
    </row>
    <row r="222" spans="2:5">
      <c r="B222" s="139">
        <v>314</v>
      </c>
      <c r="D222" s="127" t="s">
        <v>210</v>
      </c>
      <c r="E222" s="140" t="s">
        <v>948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949</v>
      </c>
      <c r="E232" s="128" t="s">
        <v>516</v>
      </c>
      <c r="F232" s="130"/>
    </row>
    <row r="233" spans="1:6">
      <c r="A233" s="129"/>
      <c r="B233" s="139">
        <v>325</v>
      </c>
      <c r="C233" s="138" t="s">
        <v>509</v>
      </c>
      <c r="D233" s="128" t="s">
        <v>950</v>
      </c>
      <c r="E233" s="128" t="s">
        <v>899</v>
      </c>
      <c r="F233" s="130"/>
    </row>
    <row r="234" spans="1:6">
      <c r="A234" s="129"/>
      <c r="B234" s="139">
        <v>326</v>
      </c>
      <c r="C234" s="138" t="s">
        <v>918</v>
      </c>
      <c r="D234" s="128" t="s">
        <v>951</v>
      </c>
      <c r="E234" s="128" t="s">
        <v>952</v>
      </c>
      <c r="F234" s="130"/>
    </row>
    <row r="235" spans="1:6">
      <c r="B235" s="139">
        <v>327</v>
      </c>
      <c r="D235" s="127" t="s">
        <v>219</v>
      </c>
      <c r="E235" s="140" t="s">
        <v>560</v>
      </c>
    </row>
    <row r="236" spans="1:6" ht="14.4">
      <c r="B236" s="139">
        <v>328</v>
      </c>
      <c r="D236" s="127" t="s">
        <v>220</v>
      </c>
      <c r="E236" s="164" t="s">
        <v>905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953</v>
      </c>
      <c r="E260" s="163" t="s">
        <v>954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955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920</v>
      </c>
      <c r="D336" s="134" t="s">
        <v>956</v>
      </c>
      <c r="E336" s="134" t="s">
        <v>957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900</v>
      </c>
      <c r="E374" s="128" t="s">
        <v>958</v>
      </c>
      <c r="F374" s="130"/>
    </row>
    <row r="375" spans="1:6">
      <c r="A375" s="129"/>
      <c r="B375" s="139">
        <v>467</v>
      </c>
      <c r="C375" s="138" t="s">
        <v>509</v>
      </c>
      <c r="D375" s="128" t="s">
        <v>959</v>
      </c>
      <c r="E375" s="128" t="s">
        <v>901</v>
      </c>
      <c r="F375" s="130"/>
    </row>
    <row r="376" spans="1:6" ht="14.4">
      <c r="B376" s="139">
        <v>468</v>
      </c>
      <c r="D376" s="127" t="s">
        <v>340</v>
      </c>
      <c r="E376" s="164" t="s">
        <v>907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960</v>
      </c>
      <c r="E408" s="134" t="s">
        <v>961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963</v>
      </c>
      <c r="E435" s="140" t="s">
        <v>967</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78"/>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1063</v>
      </c>
      <c r="C2" s="95" t="s">
        <v>1075</v>
      </c>
      <c r="D2" s="95">
        <v>43713</v>
      </c>
      <c r="E2" s="96">
        <v>43730</v>
      </c>
      <c r="F2" s="95">
        <v>43713</v>
      </c>
      <c r="G2" s="95">
        <v>43715</v>
      </c>
      <c r="H2" s="92">
        <v>2</v>
      </c>
    </row>
    <row r="3" spans="1:8">
      <c r="A3" s="93">
        <v>1.1000000000000001</v>
      </c>
      <c r="B3" s="94" t="s">
        <v>1063</v>
      </c>
      <c r="C3" s="95" t="s">
        <v>1075</v>
      </c>
      <c r="D3" s="95">
        <v>43713</v>
      </c>
      <c r="E3" s="96">
        <v>43730</v>
      </c>
      <c r="F3" s="95">
        <v>43716</v>
      </c>
      <c r="G3" s="95">
        <v>43722</v>
      </c>
      <c r="H3" s="92">
        <v>3</v>
      </c>
    </row>
    <row r="4" spans="1:8">
      <c r="A4" s="93">
        <v>1.1000000000000001</v>
      </c>
      <c r="B4" s="94" t="s">
        <v>1063</v>
      </c>
      <c r="C4" s="95" t="s">
        <v>1075</v>
      </c>
      <c r="D4" s="95">
        <v>43713</v>
      </c>
      <c r="E4" s="96">
        <v>43730</v>
      </c>
      <c r="F4" s="95">
        <v>43723</v>
      </c>
      <c r="G4" s="95">
        <v>43729</v>
      </c>
      <c r="H4" s="92">
        <v>5</v>
      </c>
    </row>
    <row r="5" spans="1:8">
      <c r="A5" s="93">
        <v>1.1000000000000001</v>
      </c>
      <c r="B5" s="94" t="s">
        <v>1063</v>
      </c>
      <c r="C5" s="95" t="s">
        <v>1075</v>
      </c>
      <c r="D5" s="95">
        <v>43713</v>
      </c>
      <c r="E5" s="96">
        <v>43730</v>
      </c>
      <c r="F5" s="95">
        <v>43730</v>
      </c>
      <c r="G5" s="95">
        <v>43736</v>
      </c>
      <c r="H5" s="92">
        <v>0</v>
      </c>
    </row>
    <row r="6" spans="1:8">
      <c r="A6" s="93" t="s">
        <v>965</v>
      </c>
      <c r="B6" s="94" t="s">
        <v>1064</v>
      </c>
      <c r="C6" s="95" t="s">
        <v>1082</v>
      </c>
      <c r="D6" s="95">
        <v>43731</v>
      </c>
      <c r="E6" s="96">
        <v>43737</v>
      </c>
      <c r="F6" s="95">
        <v>43730</v>
      </c>
      <c r="G6" s="95">
        <v>43736</v>
      </c>
      <c r="H6" s="92">
        <v>5</v>
      </c>
    </row>
    <row r="7" spans="1:8">
      <c r="A7" s="93" t="s">
        <v>965</v>
      </c>
      <c r="B7" s="94" t="s">
        <v>1064</v>
      </c>
      <c r="C7" s="95" t="s">
        <v>1082</v>
      </c>
      <c r="D7" s="95">
        <v>43731</v>
      </c>
      <c r="E7" s="96">
        <v>43737</v>
      </c>
      <c r="F7" s="95">
        <v>43737</v>
      </c>
      <c r="G7" s="95">
        <v>43743</v>
      </c>
      <c r="H7" s="92">
        <v>0</v>
      </c>
    </row>
    <row r="8" spans="1:8">
      <c r="A8" s="93" t="s">
        <v>1090</v>
      </c>
      <c r="B8" s="94" t="s">
        <v>1074</v>
      </c>
      <c r="C8" s="95" t="s">
        <v>1083</v>
      </c>
      <c r="D8" s="95">
        <v>43738</v>
      </c>
      <c r="E8" s="96">
        <v>43744</v>
      </c>
      <c r="F8" s="95">
        <v>43737</v>
      </c>
      <c r="G8" s="95">
        <v>43743</v>
      </c>
      <c r="H8" s="92">
        <v>4</v>
      </c>
    </row>
    <row r="9" spans="1:8">
      <c r="A9" s="93" t="s">
        <v>1090</v>
      </c>
      <c r="B9" s="94" t="s">
        <v>1074</v>
      </c>
      <c r="C9" s="95" t="s">
        <v>1083</v>
      </c>
      <c r="D9" s="95">
        <v>43738</v>
      </c>
      <c r="E9" s="96">
        <v>43744</v>
      </c>
      <c r="F9" s="95">
        <v>43744</v>
      </c>
      <c r="G9" s="95">
        <v>43750</v>
      </c>
      <c r="H9" s="92">
        <v>0</v>
      </c>
    </row>
    <row r="10" spans="1:8">
      <c r="A10" s="93" t="s">
        <v>1091</v>
      </c>
      <c r="B10" s="94" t="s">
        <v>1069</v>
      </c>
      <c r="C10" s="95" t="s">
        <v>1082</v>
      </c>
      <c r="D10" s="95">
        <v>43745</v>
      </c>
      <c r="E10" s="96">
        <v>43758</v>
      </c>
      <c r="F10" s="95">
        <v>43744</v>
      </c>
      <c r="G10" s="95">
        <v>43750</v>
      </c>
      <c r="H10" s="92">
        <v>2</v>
      </c>
    </row>
    <row r="11" spans="1:8">
      <c r="A11" s="93" t="s">
        <v>1091</v>
      </c>
      <c r="B11" s="94" t="s">
        <v>1069</v>
      </c>
      <c r="C11" s="95" t="s">
        <v>1083</v>
      </c>
      <c r="D11" s="95">
        <v>43745</v>
      </c>
      <c r="E11" s="96">
        <v>43758</v>
      </c>
      <c r="F11" s="95">
        <v>43744</v>
      </c>
      <c r="G11" s="95">
        <v>43750</v>
      </c>
      <c r="H11" s="92">
        <v>2</v>
      </c>
    </row>
    <row r="12" spans="1:8">
      <c r="A12" s="93" t="s">
        <v>1091</v>
      </c>
      <c r="B12" s="94" t="s">
        <v>1069</v>
      </c>
      <c r="C12" s="95" t="s">
        <v>1082</v>
      </c>
      <c r="D12" s="95">
        <v>43745</v>
      </c>
      <c r="E12" s="96">
        <v>43758</v>
      </c>
      <c r="F12" s="95">
        <v>43751</v>
      </c>
      <c r="G12" s="95">
        <v>43757</v>
      </c>
      <c r="H12" s="92">
        <v>2.5</v>
      </c>
    </row>
    <row r="13" spans="1:8">
      <c r="A13" s="93" t="s">
        <v>1091</v>
      </c>
      <c r="B13" s="94" t="s">
        <v>1069</v>
      </c>
      <c r="C13" s="95" t="s">
        <v>1083</v>
      </c>
      <c r="D13" s="95">
        <v>43745</v>
      </c>
      <c r="E13" s="96">
        <v>43758</v>
      </c>
      <c r="F13" s="95">
        <v>43751</v>
      </c>
      <c r="G13" s="95">
        <v>43757</v>
      </c>
      <c r="H13" s="92">
        <v>2.5</v>
      </c>
    </row>
    <row r="14" spans="1:8">
      <c r="A14" s="93" t="s">
        <v>1091</v>
      </c>
      <c r="B14" s="94" t="s">
        <v>1069</v>
      </c>
      <c r="C14" s="95" t="s">
        <v>1082</v>
      </c>
      <c r="D14" s="95">
        <v>43745</v>
      </c>
      <c r="E14" s="96">
        <v>43758</v>
      </c>
      <c r="F14" s="95">
        <v>43758</v>
      </c>
      <c r="G14" s="95">
        <v>43764</v>
      </c>
      <c r="H14" s="92">
        <v>0</v>
      </c>
    </row>
    <row r="15" spans="1:8">
      <c r="A15" s="93" t="s">
        <v>1091</v>
      </c>
      <c r="B15" s="94" t="s">
        <v>1069</v>
      </c>
      <c r="C15" s="95" t="s">
        <v>1083</v>
      </c>
      <c r="D15" s="95">
        <v>43745</v>
      </c>
      <c r="E15" s="96">
        <v>43758</v>
      </c>
      <c r="F15" s="95">
        <v>43758</v>
      </c>
      <c r="G15" s="95">
        <v>43764</v>
      </c>
      <c r="H15" s="92">
        <v>0</v>
      </c>
    </row>
    <row r="16" spans="1:8">
      <c r="A16" s="93" t="s">
        <v>966</v>
      </c>
      <c r="B16" s="94" t="s">
        <v>1064</v>
      </c>
      <c r="C16" s="95" t="s">
        <v>1085</v>
      </c>
      <c r="D16" s="95">
        <v>43731</v>
      </c>
      <c r="E16" s="96">
        <v>43744</v>
      </c>
      <c r="F16" s="95">
        <v>43730</v>
      </c>
      <c r="G16" s="95">
        <v>43736</v>
      </c>
      <c r="H16" s="92">
        <v>5</v>
      </c>
    </row>
    <row r="17" spans="1:8">
      <c r="A17" s="93" t="s">
        <v>966</v>
      </c>
      <c r="B17" s="94" t="s">
        <v>1064</v>
      </c>
      <c r="C17" s="95" t="s">
        <v>1085</v>
      </c>
      <c r="D17" s="95">
        <v>43731</v>
      </c>
      <c r="E17" s="96">
        <v>43744</v>
      </c>
      <c r="F17" s="95">
        <v>43737</v>
      </c>
      <c r="G17" s="95">
        <v>43743</v>
      </c>
      <c r="H17" s="92">
        <v>4</v>
      </c>
    </row>
    <row r="18" spans="1:8">
      <c r="A18" s="93" t="s">
        <v>966</v>
      </c>
      <c r="B18" s="94" t="s">
        <v>1064</v>
      </c>
      <c r="C18" s="95" t="s">
        <v>1085</v>
      </c>
      <c r="D18" s="95">
        <v>43731</v>
      </c>
      <c r="E18" s="96">
        <v>43744</v>
      </c>
      <c r="F18" s="95">
        <v>43744</v>
      </c>
      <c r="G18" s="95">
        <v>43750</v>
      </c>
      <c r="H18" s="92">
        <v>0</v>
      </c>
    </row>
    <row r="19" spans="1:8">
      <c r="A19" s="93" t="s">
        <v>1093</v>
      </c>
      <c r="B19" s="94" t="s">
        <v>1074</v>
      </c>
      <c r="C19" s="95" t="s">
        <v>1086</v>
      </c>
      <c r="D19" s="95">
        <v>43745</v>
      </c>
      <c r="E19" s="96">
        <v>43758</v>
      </c>
      <c r="F19" s="95">
        <v>43744</v>
      </c>
      <c r="G19" s="95">
        <v>43750</v>
      </c>
      <c r="H19" s="92">
        <v>4</v>
      </c>
    </row>
    <row r="20" spans="1:8">
      <c r="A20" s="93" t="s">
        <v>1093</v>
      </c>
      <c r="B20" s="94" t="s">
        <v>1074</v>
      </c>
      <c r="C20" s="95" t="s">
        <v>1086</v>
      </c>
      <c r="D20" s="95">
        <v>43745</v>
      </c>
      <c r="E20" s="96">
        <v>43758</v>
      </c>
      <c r="F20" s="95">
        <v>43751</v>
      </c>
      <c r="G20" s="95">
        <v>43757</v>
      </c>
      <c r="H20" s="92">
        <v>5</v>
      </c>
    </row>
    <row r="21" spans="1:8">
      <c r="A21" s="93" t="s">
        <v>1093</v>
      </c>
      <c r="B21" s="94" t="s">
        <v>1074</v>
      </c>
      <c r="C21" s="95" t="s">
        <v>1086</v>
      </c>
      <c r="D21" s="95">
        <v>43745</v>
      </c>
      <c r="E21" s="96">
        <v>43758</v>
      </c>
      <c r="F21" s="95">
        <v>43758</v>
      </c>
      <c r="G21" s="95">
        <v>43764</v>
      </c>
      <c r="H21" s="92">
        <v>0</v>
      </c>
    </row>
    <row r="22" spans="1:8">
      <c r="A22" s="93" t="s">
        <v>1095</v>
      </c>
      <c r="B22" s="94" t="s">
        <v>1064</v>
      </c>
      <c r="C22" s="95" t="s">
        <v>1087</v>
      </c>
      <c r="D22" s="95">
        <v>43731</v>
      </c>
      <c r="E22" s="96">
        <v>43744</v>
      </c>
      <c r="F22" s="95">
        <v>43730</v>
      </c>
      <c r="G22" s="95">
        <v>43736</v>
      </c>
      <c r="H22" s="92">
        <v>5</v>
      </c>
    </row>
    <row r="23" spans="1:8">
      <c r="A23" s="93" t="s">
        <v>1095</v>
      </c>
      <c r="B23" s="94" t="s">
        <v>1064</v>
      </c>
      <c r="C23" s="95" t="s">
        <v>1087</v>
      </c>
      <c r="D23" s="95">
        <v>43731</v>
      </c>
      <c r="E23" s="96">
        <v>43744</v>
      </c>
      <c r="F23" s="95">
        <v>43737</v>
      </c>
      <c r="G23" s="95">
        <v>43743</v>
      </c>
      <c r="H23" s="92">
        <v>4</v>
      </c>
    </row>
    <row r="24" spans="1:8">
      <c r="A24" s="93" t="s">
        <v>1095</v>
      </c>
      <c r="B24" s="94" t="s">
        <v>1064</v>
      </c>
      <c r="C24" s="95" t="s">
        <v>1087</v>
      </c>
      <c r="D24" s="95">
        <v>43731</v>
      </c>
      <c r="E24" s="96">
        <v>43744</v>
      </c>
      <c r="F24" s="95">
        <v>43744</v>
      </c>
      <c r="G24" s="95">
        <v>43750</v>
      </c>
      <c r="H24" s="92">
        <v>0</v>
      </c>
    </row>
    <row r="25" spans="1:8">
      <c r="A25" s="93" t="s">
        <v>1096</v>
      </c>
      <c r="B25" s="94" t="s">
        <v>1074</v>
      </c>
      <c r="C25" s="95" t="s">
        <v>1087</v>
      </c>
      <c r="D25" s="95">
        <v>43745</v>
      </c>
      <c r="E25" s="96">
        <v>43758</v>
      </c>
      <c r="F25" s="95">
        <v>43744</v>
      </c>
      <c r="G25" s="95">
        <v>43750</v>
      </c>
      <c r="H25" s="92">
        <v>4</v>
      </c>
    </row>
    <row r="26" spans="1:8">
      <c r="A26" s="93" t="s">
        <v>1096</v>
      </c>
      <c r="B26" s="94" t="s">
        <v>1074</v>
      </c>
      <c r="C26" s="95" t="s">
        <v>1087</v>
      </c>
      <c r="D26" s="95">
        <v>43745</v>
      </c>
      <c r="E26" s="96">
        <v>43758</v>
      </c>
      <c r="F26" s="95">
        <v>43751</v>
      </c>
      <c r="G26" s="95">
        <v>43757</v>
      </c>
      <c r="H26" s="92">
        <v>5</v>
      </c>
    </row>
    <row r="27" spans="1:8">
      <c r="A27" s="93" t="s">
        <v>1096</v>
      </c>
      <c r="B27" s="94" t="s">
        <v>1074</v>
      </c>
      <c r="C27" s="95" t="s">
        <v>1087</v>
      </c>
      <c r="D27" s="95">
        <v>43745</v>
      </c>
      <c r="E27" s="96">
        <v>43758</v>
      </c>
      <c r="F27" s="95">
        <v>43758</v>
      </c>
      <c r="G27" s="95">
        <v>43764</v>
      </c>
      <c r="H27" s="92">
        <v>0</v>
      </c>
    </row>
    <row r="28" spans="1:8">
      <c r="A28" s="93" t="s">
        <v>1099</v>
      </c>
      <c r="B28" s="94" t="s">
        <v>1073</v>
      </c>
      <c r="C28" s="95" t="s">
        <v>1082</v>
      </c>
      <c r="D28" s="95">
        <v>43759</v>
      </c>
      <c r="E28" s="96">
        <v>43772</v>
      </c>
      <c r="F28" s="95">
        <v>43758</v>
      </c>
      <c r="G28" s="95">
        <v>43764</v>
      </c>
      <c r="H28" s="92">
        <v>5</v>
      </c>
    </row>
    <row r="29" spans="1:8">
      <c r="A29" s="93" t="s">
        <v>1099</v>
      </c>
      <c r="B29" s="94" t="s">
        <v>1073</v>
      </c>
      <c r="C29" s="95" t="s">
        <v>1082</v>
      </c>
      <c r="D29" s="95">
        <v>43759</v>
      </c>
      <c r="E29" s="96">
        <v>43772</v>
      </c>
      <c r="F29" s="95">
        <v>43765</v>
      </c>
      <c r="G29" s="95">
        <v>43771</v>
      </c>
      <c r="H29" s="92">
        <v>5</v>
      </c>
    </row>
    <row r="30" spans="1:8">
      <c r="A30" s="93" t="s">
        <v>1099</v>
      </c>
      <c r="B30" s="94" t="s">
        <v>1073</v>
      </c>
      <c r="C30" s="95" t="s">
        <v>1082</v>
      </c>
      <c r="D30" s="95">
        <v>43759</v>
      </c>
      <c r="E30" s="96">
        <v>43772</v>
      </c>
      <c r="F30" s="95">
        <v>43772</v>
      </c>
      <c r="G30" s="95">
        <v>43778</v>
      </c>
      <c r="H30" s="92">
        <v>0</v>
      </c>
    </row>
    <row r="31" spans="1:8">
      <c r="A31" s="93" t="s">
        <v>1100</v>
      </c>
      <c r="B31" s="94" t="s">
        <v>1111</v>
      </c>
      <c r="C31" s="95" t="s">
        <v>1086</v>
      </c>
      <c r="D31" s="95">
        <v>43773</v>
      </c>
      <c r="E31" s="96">
        <v>43797</v>
      </c>
      <c r="F31" s="95">
        <v>43772</v>
      </c>
      <c r="G31" s="95">
        <v>43778</v>
      </c>
      <c r="H31" s="92">
        <v>5</v>
      </c>
    </row>
    <row r="32" spans="1:8">
      <c r="A32" s="93" t="s">
        <v>1100</v>
      </c>
      <c r="B32" s="94" t="s">
        <v>1111</v>
      </c>
      <c r="C32" s="95" t="s">
        <v>1086</v>
      </c>
      <c r="D32" s="95">
        <v>43773</v>
      </c>
      <c r="E32" s="96">
        <v>43797</v>
      </c>
      <c r="F32" s="95">
        <v>43779</v>
      </c>
      <c r="G32" s="95">
        <v>43785</v>
      </c>
      <c r="H32" s="92">
        <v>5</v>
      </c>
    </row>
    <row r="33" spans="1:8">
      <c r="A33" s="93" t="s">
        <v>1100</v>
      </c>
      <c r="B33" s="94" t="s">
        <v>1111</v>
      </c>
      <c r="C33" s="95" t="s">
        <v>1086</v>
      </c>
      <c r="D33" s="95">
        <v>43773</v>
      </c>
      <c r="E33" s="96">
        <v>43797</v>
      </c>
      <c r="F33" s="95">
        <v>43786</v>
      </c>
      <c r="G33" s="95">
        <v>43792</v>
      </c>
      <c r="H33" s="92">
        <v>5</v>
      </c>
    </row>
    <row r="34" spans="1:8">
      <c r="A34" s="93" t="s">
        <v>1100</v>
      </c>
      <c r="B34" s="94" t="s">
        <v>1111</v>
      </c>
      <c r="C34" s="95" t="s">
        <v>1086</v>
      </c>
      <c r="D34" s="95">
        <v>43773</v>
      </c>
      <c r="E34" s="96">
        <v>43797</v>
      </c>
      <c r="F34" s="95">
        <v>43793</v>
      </c>
      <c r="G34" s="95">
        <v>43799</v>
      </c>
      <c r="H34" s="92">
        <v>4</v>
      </c>
    </row>
    <row r="35" spans="1:8">
      <c r="A35" s="93" t="s">
        <v>1112</v>
      </c>
      <c r="B35" s="94" t="s">
        <v>1113</v>
      </c>
      <c r="C35" s="95" t="s">
        <v>1087</v>
      </c>
      <c r="D35" s="95">
        <v>43773</v>
      </c>
      <c r="E35" s="96">
        <v>43800</v>
      </c>
      <c r="F35" s="95">
        <v>43772</v>
      </c>
      <c r="G35" s="95">
        <v>43778</v>
      </c>
      <c r="H35" s="92">
        <v>5</v>
      </c>
    </row>
    <row r="36" spans="1:8">
      <c r="A36" s="93" t="s">
        <v>1112</v>
      </c>
      <c r="B36" s="94" t="s">
        <v>1113</v>
      </c>
      <c r="C36" s="95" t="s">
        <v>1087</v>
      </c>
      <c r="D36" s="95">
        <v>43773</v>
      </c>
      <c r="E36" s="96">
        <v>43800</v>
      </c>
      <c r="F36" s="95">
        <v>43779</v>
      </c>
      <c r="G36" s="95">
        <v>43785</v>
      </c>
      <c r="H36" s="92">
        <v>5</v>
      </c>
    </row>
    <row r="37" spans="1:8">
      <c r="A37" s="93" t="s">
        <v>1112</v>
      </c>
      <c r="B37" s="94" t="s">
        <v>1113</v>
      </c>
      <c r="C37" s="95" t="s">
        <v>1087</v>
      </c>
      <c r="D37" s="95">
        <v>43773</v>
      </c>
      <c r="E37" s="96">
        <v>43800</v>
      </c>
      <c r="F37" s="95">
        <v>43786</v>
      </c>
      <c r="G37" s="95">
        <v>43792</v>
      </c>
      <c r="H37" s="92">
        <v>5</v>
      </c>
    </row>
    <row r="38" spans="1:8">
      <c r="A38" s="93" t="s">
        <v>1112</v>
      </c>
      <c r="B38" s="94" t="s">
        <v>1113</v>
      </c>
      <c r="C38" s="95" t="s">
        <v>1087</v>
      </c>
      <c r="D38" s="95">
        <v>43773</v>
      </c>
      <c r="E38" s="96">
        <v>43800</v>
      </c>
      <c r="F38" s="95">
        <v>43793</v>
      </c>
      <c r="G38" s="95">
        <v>43799</v>
      </c>
      <c r="H38" s="92">
        <v>5</v>
      </c>
    </row>
    <row r="39" spans="1:8">
      <c r="A39" s="93" t="s">
        <v>1112</v>
      </c>
      <c r="B39" s="94" t="s">
        <v>1113</v>
      </c>
      <c r="C39" s="95" t="s">
        <v>1087</v>
      </c>
      <c r="D39" s="95">
        <v>43773</v>
      </c>
      <c r="E39" s="96">
        <v>43800</v>
      </c>
      <c r="F39" s="95">
        <v>43800</v>
      </c>
      <c r="G39" s="95">
        <v>43806</v>
      </c>
      <c r="H39" s="92">
        <v>0</v>
      </c>
    </row>
    <row r="40" spans="1:8">
      <c r="A40" s="93" t="s">
        <v>1121</v>
      </c>
      <c r="B40" s="94" t="s">
        <v>1114</v>
      </c>
      <c r="C40" s="95" t="s">
        <v>1087</v>
      </c>
      <c r="D40" s="95">
        <v>43773</v>
      </c>
      <c r="E40" s="96">
        <v>43800</v>
      </c>
      <c r="F40" s="95">
        <v>43772</v>
      </c>
      <c r="G40" s="95">
        <v>43778</v>
      </c>
      <c r="H40" s="92">
        <v>2.5</v>
      </c>
    </row>
    <row r="41" spans="1:8">
      <c r="A41" s="93" t="s">
        <v>1121</v>
      </c>
      <c r="B41" s="94" t="s">
        <v>1114</v>
      </c>
      <c r="C41" s="95" t="s">
        <v>1086</v>
      </c>
      <c r="D41" s="95">
        <v>43773</v>
      </c>
      <c r="E41" s="96">
        <v>43800</v>
      </c>
      <c r="F41" s="95">
        <v>43772</v>
      </c>
      <c r="G41" s="95">
        <v>43778</v>
      </c>
      <c r="H41" s="92">
        <v>2.5</v>
      </c>
    </row>
    <row r="42" spans="1:8">
      <c r="A42" s="93" t="s">
        <v>1121</v>
      </c>
      <c r="B42" s="94" t="s">
        <v>1114</v>
      </c>
      <c r="C42" s="95" t="s">
        <v>1087</v>
      </c>
      <c r="D42" s="95">
        <v>43773</v>
      </c>
      <c r="E42" s="96">
        <v>43800</v>
      </c>
      <c r="F42" s="95">
        <v>43779</v>
      </c>
      <c r="G42" s="95">
        <v>43785</v>
      </c>
      <c r="H42" s="92">
        <v>2.5</v>
      </c>
    </row>
    <row r="43" spans="1:8">
      <c r="A43" s="93" t="s">
        <v>1121</v>
      </c>
      <c r="B43" s="94" t="s">
        <v>1114</v>
      </c>
      <c r="C43" s="95" t="s">
        <v>1086</v>
      </c>
      <c r="D43" s="95">
        <v>43773</v>
      </c>
      <c r="E43" s="96">
        <v>43800</v>
      </c>
      <c r="F43" s="95">
        <v>43779</v>
      </c>
      <c r="G43" s="95">
        <v>43785</v>
      </c>
      <c r="H43" s="92">
        <v>2.5</v>
      </c>
    </row>
    <row r="44" spans="1:8">
      <c r="A44" s="93" t="s">
        <v>1121</v>
      </c>
      <c r="B44" s="94" t="s">
        <v>1114</v>
      </c>
      <c r="C44" s="95" t="s">
        <v>1087</v>
      </c>
      <c r="D44" s="95">
        <v>43773</v>
      </c>
      <c r="E44" s="96">
        <v>43800</v>
      </c>
      <c r="F44" s="95">
        <v>43786</v>
      </c>
      <c r="G44" s="95">
        <v>43792</v>
      </c>
      <c r="H44" s="92">
        <v>2.5</v>
      </c>
    </row>
    <row r="45" spans="1:8">
      <c r="A45" s="93" t="s">
        <v>1121</v>
      </c>
      <c r="B45" s="94" t="s">
        <v>1114</v>
      </c>
      <c r="C45" s="95" t="s">
        <v>1086</v>
      </c>
      <c r="D45" s="95">
        <v>43773</v>
      </c>
      <c r="E45" s="96">
        <v>43800</v>
      </c>
      <c r="F45" s="95">
        <v>43786</v>
      </c>
      <c r="G45" s="95">
        <v>43792</v>
      </c>
      <c r="H45" s="92">
        <v>2.5</v>
      </c>
    </row>
    <row r="46" spans="1:8">
      <c r="A46" s="93" t="s">
        <v>1121</v>
      </c>
      <c r="B46" s="94" t="s">
        <v>1114</v>
      </c>
      <c r="C46" s="95" t="s">
        <v>1087</v>
      </c>
      <c r="D46" s="95">
        <v>43773</v>
      </c>
      <c r="E46" s="96">
        <v>43800</v>
      </c>
      <c r="F46" s="95">
        <v>43793</v>
      </c>
      <c r="G46" s="95">
        <v>43799</v>
      </c>
      <c r="H46" s="92">
        <v>2.5</v>
      </c>
    </row>
    <row r="47" spans="1:8">
      <c r="A47" s="93" t="s">
        <v>1121</v>
      </c>
      <c r="B47" s="94" t="s">
        <v>1114</v>
      </c>
      <c r="C47" s="95" t="s">
        <v>1086</v>
      </c>
      <c r="D47" s="95">
        <v>43773</v>
      </c>
      <c r="E47" s="96">
        <v>43800</v>
      </c>
      <c r="F47" s="95">
        <v>43793</v>
      </c>
      <c r="G47" s="95">
        <v>43799</v>
      </c>
      <c r="H47" s="92">
        <v>2.5</v>
      </c>
    </row>
    <row r="48" spans="1:8">
      <c r="A48" s="93" t="s">
        <v>1121</v>
      </c>
      <c r="B48" s="94" t="s">
        <v>1114</v>
      </c>
      <c r="C48" s="95" t="s">
        <v>1087</v>
      </c>
      <c r="D48" s="95">
        <v>43773</v>
      </c>
      <c r="E48" s="96">
        <v>43800</v>
      </c>
      <c r="F48" s="95">
        <v>43800</v>
      </c>
      <c r="G48" s="95">
        <v>43806</v>
      </c>
      <c r="H48" s="92">
        <v>0</v>
      </c>
    </row>
    <row r="49" spans="1:8">
      <c r="A49" s="93" t="s">
        <v>1121</v>
      </c>
      <c r="B49" s="94" t="s">
        <v>1114</v>
      </c>
      <c r="C49" s="95" t="s">
        <v>1086</v>
      </c>
      <c r="D49" s="95">
        <v>43773</v>
      </c>
      <c r="E49" s="96">
        <v>43800</v>
      </c>
      <c r="F49" s="95">
        <v>43800</v>
      </c>
      <c r="G49" s="95">
        <v>43806</v>
      </c>
      <c r="H49" s="92">
        <v>0</v>
      </c>
    </row>
    <row r="50" spans="1:8">
      <c r="A50" s="93" t="s">
        <v>1122</v>
      </c>
      <c r="B50" s="94" t="s">
        <v>1116</v>
      </c>
      <c r="C50" s="95" t="s">
        <v>1085</v>
      </c>
      <c r="D50" s="95">
        <v>43773</v>
      </c>
      <c r="E50" s="96">
        <v>43800</v>
      </c>
      <c r="F50" s="95">
        <v>43772</v>
      </c>
      <c r="G50" s="95">
        <v>43778</v>
      </c>
      <c r="H50" s="92">
        <v>5</v>
      </c>
    </row>
    <row r="51" spans="1:8">
      <c r="A51" s="93" t="s">
        <v>1122</v>
      </c>
      <c r="B51" s="94" t="s">
        <v>1116</v>
      </c>
      <c r="C51" s="95" t="s">
        <v>1085</v>
      </c>
      <c r="D51" s="95">
        <v>43773</v>
      </c>
      <c r="E51" s="96">
        <v>43800</v>
      </c>
      <c r="F51" s="95">
        <v>43779</v>
      </c>
      <c r="G51" s="95">
        <v>43785</v>
      </c>
      <c r="H51" s="92">
        <v>5</v>
      </c>
    </row>
    <row r="52" spans="1:8">
      <c r="A52" s="93" t="s">
        <v>1122</v>
      </c>
      <c r="B52" s="94" t="s">
        <v>1116</v>
      </c>
      <c r="C52" s="95" t="s">
        <v>1085</v>
      </c>
      <c r="D52" s="95">
        <v>43773</v>
      </c>
      <c r="E52" s="96">
        <v>43800</v>
      </c>
      <c r="F52" s="95">
        <v>43786</v>
      </c>
      <c r="G52" s="95">
        <v>43792</v>
      </c>
      <c r="H52" s="92">
        <v>5</v>
      </c>
    </row>
    <row r="53" spans="1:8">
      <c r="A53" s="93" t="s">
        <v>1122</v>
      </c>
      <c r="B53" s="94" t="s">
        <v>1116</v>
      </c>
      <c r="C53" s="95" t="s">
        <v>1085</v>
      </c>
      <c r="D53" s="95">
        <v>43773</v>
      </c>
      <c r="E53" s="96">
        <v>43800</v>
      </c>
      <c r="F53" s="95">
        <v>43793</v>
      </c>
      <c r="G53" s="95">
        <v>43799</v>
      </c>
      <c r="H53" s="92">
        <v>5</v>
      </c>
    </row>
    <row r="54" spans="1:8">
      <c r="A54" s="93" t="s">
        <v>1122</v>
      </c>
      <c r="B54" s="94" t="s">
        <v>1116</v>
      </c>
      <c r="C54" s="95" t="s">
        <v>1085</v>
      </c>
      <c r="D54" s="95">
        <v>43773</v>
      </c>
      <c r="E54" s="96">
        <v>43800</v>
      </c>
      <c r="F54" s="95">
        <v>43800</v>
      </c>
      <c r="G54" s="95">
        <v>43806</v>
      </c>
      <c r="H54" s="92">
        <v>0</v>
      </c>
    </row>
    <row r="55" spans="1:8">
      <c r="A55" s="93" t="s">
        <v>1123</v>
      </c>
      <c r="B55" s="94" t="s">
        <v>1117</v>
      </c>
      <c r="C55" s="95" t="s">
        <v>1086</v>
      </c>
      <c r="D55" s="95">
        <v>43773</v>
      </c>
      <c r="E55" s="96">
        <v>43807</v>
      </c>
      <c r="F55" s="95">
        <v>43772</v>
      </c>
      <c r="G55" s="95">
        <v>43778</v>
      </c>
      <c r="H55" s="92">
        <v>5</v>
      </c>
    </row>
    <row r="56" spans="1:8">
      <c r="A56" s="93" t="s">
        <v>1123</v>
      </c>
      <c r="B56" s="94" t="s">
        <v>1117</v>
      </c>
      <c r="C56" s="95" t="s">
        <v>1086</v>
      </c>
      <c r="D56" s="95">
        <v>43773</v>
      </c>
      <c r="E56" s="96">
        <v>43807</v>
      </c>
      <c r="F56" s="95">
        <v>43779</v>
      </c>
      <c r="G56" s="95">
        <v>43785</v>
      </c>
      <c r="H56" s="92">
        <v>5</v>
      </c>
    </row>
    <row r="57" spans="1:8">
      <c r="A57" s="93" t="s">
        <v>1123</v>
      </c>
      <c r="B57" s="94" t="s">
        <v>1117</v>
      </c>
      <c r="C57" s="95" t="s">
        <v>1086</v>
      </c>
      <c r="D57" s="95">
        <v>43773</v>
      </c>
      <c r="E57" s="96">
        <v>43807</v>
      </c>
      <c r="F57" s="95">
        <v>43786</v>
      </c>
      <c r="G57" s="95">
        <v>43792</v>
      </c>
      <c r="H57" s="92">
        <v>5</v>
      </c>
    </row>
    <row r="58" spans="1:8">
      <c r="A58" s="93" t="s">
        <v>1123</v>
      </c>
      <c r="B58" s="94" t="s">
        <v>1117</v>
      </c>
      <c r="C58" s="95" t="s">
        <v>1086</v>
      </c>
      <c r="D58" s="95">
        <v>43773</v>
      </c>
      <c r="E58" s="96">
        <v>43807</v>
      </c>
      <c r="F58" s="95">
        <v>43793</v>
      </c>
      <c r="G58" s="95">
        <v>43799</v>
      </c>
      <c r="H58" s="92">
        <v>5</v>
      </c>
    </row>
    <row r="59" spans="1:8">
      <c r="A59" s="93" t="s">
        <v>1123</v>
      </c>
      <c r="B59" s="94" t="s">
        <v>1117</v>
      </c>
      <c r="C59" s="95" t="s">
        <v>1086</v>
      </c>
      <c r="D59" s="95">
        <v>43773</v>
      </c>
      <c r="E59" s="96">
        <v>43807</v>
      </c>
      <c r="F59" s="95">
        <v>43800</v>
      </c>
      <c r="G59" s="95">
        <v>43806</v>
      </c>
      <c r="H59" s="92">
        <v>5</v>
      </c>
    </row>
    <row r="60" spans="1:8">
      <c r="A60" s="93" t="s">
        <v>1123</v>
      </c>
      <c r="B60" s="94" t="s">
        <v>1117</v>
      </c>
      <c r="C60" s="95" t="s">
        <v>1086</v>
      </c>
      <c r="D60" s="95">
        <v>43773</v>
      </c>
      <c r="E60" s="96">
        <v>43807</v>
      </c>
      <c r="F60" s="95">
        <v>43807</v>
      </c>
      <c r="G60" s="95">
        <v>43813</v>
      </c>
      <c r="H60" s="92">
        <v>0</v>
      </c>
    </row>
    <row r="61" spans="1:8">
      <c r="A61" s="93" t="s">
        <v>1102</v>
      </c>
      <c r="B61" s="94" t="s">
        <v>1073</v>
      </c>
      <c r="C61" s="95" t="s">
        <v>1085</v>
      </c>
      <c r="D61" s="95">
        <v>43759</v>
      </c>
      <c r="E61" s="96">
        <v>43772</v>
      </c>
      <c r="F61" s="95">
        <v>43758</v>
      </c>
      <c r="G61" s="95">
        <v>43764</v>
      </c>
      <c r="H61" s="92">
        <v>5</v>
      </c>
    </row>
    <row r="62" spans="1:8">
      <c r="A62" s="93" t="s">
        <v>1102</v>
      </c>
      <c r="B62" s="94" t="s">
        <v>1073</v>
      </c>
      <c r="C62" s="95" t="s">
        <v>1085</v>
      </c>
      <c r="D62" s="95">
        <v>43759</v>
      </c>
      <c r="E62" s="96">
        <v>43772</v>
      </c>
      <c r="F62" s="95">
        <v>43765</v>
      </c>
      <c r="G62" s="95">
        <v>43771</v>
      </c>
      <c r="H62" s="92">
        <v>5</v>
      </c>
    </row>
    <row r="63" spans="1:8">
      <c r="A63" s="93" t="s">
        <v>1102</v>
      </c>
      <c r="B63" s="94" t="s">
        <v>1073</v>
      </c>
      <c r="C63" s="95" t="s">
        <v>1085</v>
      </c>
      <c r="D63" s="95">
        <v>43759</v>
      </c>
      <c r="E63" s="96">
        <v>43772</v>
      </c>
      <c r="F63" s="95">
        <v>43772</v>
      </c>
      <c r="G63" s="95">
        <v>43778</v>
      </c>
      <c r="H63" s="92">
        <v>0</v>
      </c>
    </row>
    <row r="64" spans="1:8">
      <c r="A64" s="93" t="s">
        <v>1103</v>
      </c>
      <c r="B64" s="94" t="s">
        <v>1065</v>
      </c>
      <c r="C64" s="95" t="s">
        <v>1086</v>
      </c>
      <c r="D64" s="95">
        <v>43773</v>
      </c>
      <c r="E64" s="96">
        <v>43786</v>
      </c>
      <c r="F64" s="95">
        <v>43772</v>
      </c>
      <c r="G64" s="95">
        <v>43778</v>
      </c>
      <c r="H64" s="92">
        <v>5</v>
      </c>
    </row>
    <row r="65" spans="1:8">
      <c r="A65" s="93" t="s">
        <v>1103</v>
      </c>
      <c r="B65" s="94" t="s">
        <v>1065</v>
      </c>
      <c r="C65" s="95" t="s">
        <v>1086</v>
      </c>
      <c r="D65" s="95">
        <v>43773</v>
      </c>
      <c r="E65" s="96">
        <v>43786</v>
      </c>
      <c r="F65" s="95">
        <v>43779</v>
      </c>
      <c r="G65" s="95">
        <v>43785</v>
      </c>
      <c r="H65" s="92">
        <v>5</v>
      </c>
    </row>
    <row r="66" spans="1:8">
      <c r="A66" s="93" t="s">
        <v>1103</v>
      </c>
      <c r="B66" s="94" t="s">
        <v>1065</v>
      </c>
      <c r="C66" s="95" t="s">
        <v>1086</v>
      </c>
      <c r="D66" s="95">
        <v>43773</v>
      </c>
      <c r="E66" s="96">
        <v>43786</v>
      </c>
      <c r="F66" s="95">
        <v>43786</v>
      </c>
      <c r="G66" s="95">
        <v>43792</v>
      </c>
      <c r="H66" s="92">
        <v>0</v>
      </c>
    </row>
    <row r="67" spans="1:8">
      <c r="A67" s="93" t="s">
        <v>1105</v>
      </c>
      <c r="B67" s="94" t="s">
        <v>1073</v>
      </c>
      <c r="C67" s="95" t="s">
        <v>1087</v>
      </c>
      <c r="D67" s="95">
        <v>43759</v>
      </c>
      <c r="E67" s="96">
        <v>43772</v>
      </c>
      <c r="F67" s="95">
        <v>43758</v>
      </c>
      <c r="G67" s="95">
        <v>43764</v>
      </c>
      <c r="H67" s="92">
        <v>5</v>
      </c>
    </row>
    <row r="68" spans="1:8">
      <c r="A68" s="93" t="s">
        <v>1105</v>
      </c>
      <c r="B68" s="94" t="s">
        <v>1073</v>
      </c>
      <c r="C68" s="95" t="s">
        <v>1087</v>
      </c>
      <c r="D68" s="95">
        <v>43759</v>
      </c>
      <c r="E68" s="96">
        <v>43772</v>
      </c>
      <c r="F68" s="95">
        <v>43765</v>
      </c>
      <c r="G68" s="95">
        <v>43771</v>
      </c>
      <c r="H68" s="92">
        <v>5</v>
      </c>
    </row>
    <row r="69" spans="1:8">
      <c r="A69" s="93" t="s">
        <v>1105</v>
      </c>
      <c r="B69" s="94" t="s">
        <v>1073</v>
      </c>
      <c r="C69" s="95" t="s">
        <v>1087</v>
      </c>
      <c r="D69" s="95">
        <v>43759</v>
      </c>
      <c r="E69" s="96">
        <v>43772</v>
      </c>
      <c r="F69" s="95">
        <v>43772</v>
      </c>
      <c r="G69" s="95">
        <v>43778</v>
      </c>
      <c r="H69" s="92">
        <v>0</v>
      </c>
    </row>
    <row r="70" spans="1:8">
      <c r="A70" s="93" t="s">
        <v>1106</v>
      </c>
      <c r="B70" s="94" t="s">
        <v>1065</v>
      </c>
      <c r="C70" s="95" t="s">
        <v>1087</v>
      </c>
      <c r="D70" s="95">
        <v>43773</v>
      </c>
      <c r="E70" s="96">
        <v>43786</v>
      </c>
      <c r="F70" s="95">
        <v>43772</v>
      </c>
      <c r="G70" s="95">
        <v>43778</v>
      </c>
      <c r="H70" s="92">
        <v>5</v>
      </c>
    </row>
    <row r="71" spans="1:8">
      <c r="A71" s="93" t="s">
        <v>1106</v>
      </c>
      <c r="B71" s="94" t="s">
        <v>1065</v>
      </c>
      <c r="C71" s="95" t="s">
        <v>1087</v>
      </c>
      <c r="D71" s="95">
        <v>43773</v>
      </c>
      <c r="E71" s="96">
        <v>43786</v>
      </c>
      <c r="F71" s="95">
        <v>43779</v>
      </c>
      <c r="G71" s="95">
        <v>43785</v>
      </c>
      <c r="H71" s="92">
        <v>5</v>
      </c>
    </row>
    <row r="72" spans="1:8">
      <c r="A72" s="93" t="s">
        <v>1106</v>
      </c>
      <c r="B72" s="94" t="s">
        <v>1065</v>
      </c>
      <c r="C72" s="95" t="s">
        <v>1087</v>
      </c>
      <c r="D72" s="95">
        <v>43773</v>
      </c>
      <c r="E72" s="96">
        <v>43786</v>
      </c>
      <c r="F72" s="95">
        <v>43786</v>
      </c>
      <c r="G72" s="95">
        <v>43792</v>
      </c>
      <c r="H72" s="92">
        <v>0</v>
      </c>
    </row>
    <row r="73" spans="1:8">
      <c r="A73" s="93">
        <v>3.4</v>
      </c>
      <c r="B73" s="94" t="s">
        <v>1070</v>
      </c>
      <c r="C73" s="95" t="s">
        <v>1013</v>
      </c>
      <c r="D73" s="95">
        <v>43787</v>
      </c>
      <c r="E73" s="96">
        <v>43793</v>
      </c>
      <c r="F73" s="95">
        <v>43786</v>
      </c>
      <c r="G73" s="95">
        <v>43792</v>
      </c>
      <c r="H73" s="92">
        <v>5</v>
      </c>
    </row>
    <row r="74" spans="1:8">
      <c r="A74" s="93">
        <v>3.4</v>
      </c>
      <c r="B74" s="94" t="s">
        <v>1070</v>
      </c>
      <c r="C74" s="95" t="s">
        <v>1013</v>
      </c>
      <c r="D74" s="95">
        <v>43787</v>
      </c>
      <c r="E74" s="96">
        <v>43793</v>
      </c>
      <c r="F74" s="95">
        <v>43793</v>
      </c>
      <c r="G74" s="95">
        <v>43799</v>
      </c>
      <c r="H74" s="92">
        <v>0</v>
      </c>
    </row>
    <row r="75" spans="1:8">
      <c r="A75" s="93">
        <v>4.0999999999999996</v>
      </c>
      <c r="B75" s="94" t="s">
        <v>1071</v>
      </c>
      <c r="C75" s="95" t="s">
        <v>1075</v>
      </c>
      <c r="D75" s="95">
        <v>43794</v>
      </c>
      <c r="E75" s="96">
        <v>43807</v>
      </c>
      <c r="F75" s="95">
        <v>43793</v>
      </c>
      <c r="G75" s="95">
        <v>43799</v>
      </c>
      <c r="H75" s="92">
        <v>5</v>
      </c>
    </row>
    <row r="76" spans="1:8">
      <c r="A76" s="93">
        <v>4.0999999999999996</v>
      </c>
      <c r="B76" s="94" t="s">
        <v>1071</v>
      </c>
      <c r="C76" s="95" t="s">
        <v>1075</v>
      </c>
      <c r="D76" s="95">
        <v>43794</v>
      </c>
      <c r="E76" s="96">
        <v>43807</v>
      </c>
      <c r="F76" s="95">
        <v>43800</v>
      </c>
      <c r="G76" s="95">
        <v>43806</v>
      </c>
      <c r="H76" s="92">
        <v>5</v>
      </c>
    </row>
    <row r="77" spans="1:8">
      <c r="A77" s="93">
        <v>4.0999999999999996</v>
      </c>
      <c r="B77" s="94" t="s">
        <v>1071</v>
      </c>
      <c r="C77" s="95" t="s">
        <v>1075</v>
      </c>
      <c r="D77" s="95">
        <v>43794</v>
      </c>
      <c r="E77" s="96">
        <v>43807</v>
      </c>
      <c r="F77" s="95">
        <v>43807</v>
      </c>
      <c r="G77" s="95">
        <v>43813</v>
      </c>
      <c r="H77" s="92">
        <v>0</v>
      </c>
    </row>
    <row r="78" spans="1:8">
      <c r="G78" s="92" t="s">
        <v>3</v>
      </c>
      <c r="H78" s="92">
        <f>SUM(H2:H77)</f>
        <v>233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EJ76"/>
  <sheetViews>
    <sheetView tabSelected="1" zoomScale="77" zoomScaleNormal="100" zoomScalePageLayoutView="55" workbookViewId="0">
      <pane ySplit="5" topLeftCell="A6" activePane="bottomLeft" state="frozen"/>
      <selection activeCell="E5" sqref="E5"/>
      <selection pane="bottomLeft" activeCell="D6" sqref="D6"/>
    </sheetView>
  </sheetViews>
  <sheetFormatPr defaultColWidth="10" defaultRowHeight="12" outlineLevelRow="2"/>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213" customWidth="1"/>
    <col min="13" max="14" width="8.5" style="7" bestFit="1" customWidth="1"/>
    <col min="15" max="15" width="7.59765625" style="10"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11.796875" style="8" bestFit="1" customWidth="1"/>
    <col min="26" max="26" width="16.19921875" style="14" bestFit="1" customWidth="1"/>
    <col min="27" max="27" width="7" style="15" customWidth="1"/>
    <col min="28" max="28" width="7.09765625" style="16" customWidth="1"/>
    <col min="29" max="140" width="1.8984375" style="114" customWidth="1"/>
    <col min="141" max="16384" width="10" style="114"/>
  </cols>
  <sheetData>
    <row r="1" spans="1:140" s="155" customFormat="1" ht="19.95" customHeight="1">
      <c r="A1" s="141"/>
      <c r="B1" s="149"/>
      <c r="C1" s="142"/>
      <c r="D1" s="143" t="str">
        <f ca="1">xlgantt.ProjectName() &amp; "  - 시스템 개발  (병렬 개발 모델)"</f>
        <v>HIM 프로젝트  - 시스템 개발  (병렬 개발 모델)</v>
      </c>
      <c r="E1" s="144"/>
      <c r="F1" s="144"/>
      <c r="G1" s="144"/>
      <c r="H1" s="144"/>
      <c r="I1" s="144"/>
      <c r="J1" s="144"/>
      <c r="K1" s="144"/>
      <c r="L1" s="209"/>
      <c r="M1" s="209"/>
      <c r="N1" s="148"/>
      <c r="O1" s="210"/>
      <c r="P1" s="145"/>
      <c r="Q1" s="146"/>
      <c r="R1" s="147"/>
      <c r="S1" s="147"/>
      <c r="T1" s="148"/>
      <c r="U1" s="148"/>
      <c r="V1" s="149"/>
      <c r="W1" s="150"/>
      <c r="X1" s="151"/>
      <c r="Y1" s="152"/>
      <c r="Z1" s="153"/>
      <c r="AA1" s="154"/>
      <c r="AB1" s="217" t="str">
        <f ca="1">xlgantt.ProjectProgressString()</f>
        <v>2019-09-05~2019-12-17 [계획:99.17% 실적:0.00%]</v>
      </c>
      <c r="AC1" s="238" t="s">
        <v>994</v>
      </c>
      <c r="AD1" s="238"/>
      <c r="AE1" s="238"/>
      <c r="AF1" s="238"/>
      <c r="AG1" s="238"/>
      <c r="AH1" s="238"/>
      <c r="AI1" s="238"/>
      <c r="AJ1" s="238"/>
      <c r="AK1" s="238"/>
      <c r="AL1" s="238"/>
      <c r="AM1" s="238"/>
      <c r="AN1" s="238"/>
      <c r="AO1" s="238"/>
      <c r="AP1" s="238"/>
      <c r="AQ1" s="238"/>
      <c r="AR1" s="238"/>
      <c r="AS1" s="238"/>
      <c r="AT1" s="238"/>
      <c r="AU1" s="238"/>
      <c r="AV1" s="238"/>
      <c r="AW1" s="238"/>
      <c r="AX1" s="238"/>
      <c r="AY1" s="238"/>
      <c r="AZ1" s="238"/>
      <c r="BA1" s="238"/>
      <c r="BB1" s="238"/>
      <c r="BC1" s="238"/>
      <c r="BD1" s="238"/>
      <c r="BE1" s="238"/>
      <c r="BF1" s="238"/>
      <c r="BG1" s="238"/>
      <c r="BH1" s="238"/>
      <c r="BI1" s="238"/>
      <c r="BJ1" s="238"/>
      <c r="BK1" s="238"/>
      <c r="BL1" s="238"/>
      <c r="BM1" s="238"/>
      <c r="BN1" s="238"/>
      <c r="BO1" s="238"/>
      <c r="BP1" s="238"/>
      <c r="BQ1" s="238"/>
      <c r="BR1" s="238"/>
      <c r="BS1" s="238"/>
      <c r="BT1" s="238"/>
      <c r="BU1" s="238"/>
      <c r="BV1" s="238"/>
      <c r="BW1" s="238"/>
      <c r="BX1" s="238"/>
      <c r="BY1" s="238"/>
      <c r="BZ1" s="238"/>
      <c r="CA1" s="238"/>
    </row>
    <row r="2" spans="1:140" s="155" customFormat="1" ht="15" customHeight="1">
      <c r="A2" s="156"/>
      <c r="B2" s="156"/>
      <c r="C2" s="157"/>
      <c r="D2" s="240" t="s">
        <v>1076</v>
      </c>
      <c r="E2" s="241"/>
      <c r="F2" s="241"/>
      <c r="G2" s="241"/>
      <c r="H2" s="241"/>
      <c r="I2" s="241"/>
      <c r="J2" s="241"/>
      <c r="K2" s="241"/>
      <c r="L2" s="241"/>
      <c r="M2" s="241"/>
      <c r="N2" s="211"/>
      <c r="O2" s="211"/>
      <c r="P2" s="211"/>
      <c r="Q2" s="211"/>
      <c r="R2" s="158"/>
      <c r="S2" s="158"/>
      <c r="T2" s="158"/>
      <c r="U2" s="158"/>
      <c r="V2" s="158"/>
      <c r="W2" s="158"/>
      <c r="X2" s="158"/>
      <c r="Y2" s="158"/>
      <c r="Z2" s="159"/>
      <c r="AA2" s="160"/>
      <c r="AB2" s="158"/>
      <c r="AC2" s="161" t="s">
        <v>1080</v>
      </c>
    </row>
    <row r="3" spans="1:140" s="155" customFormat="1" ht="9.6" customHeight="1">
      <c r="A3" s="156"/>
      <c r="B3" s="156"/>
      <c r="C3" s="157"/>
      <c r="D3" s="216"/>
      <c r="E3" s="216"/>
      <c r="F3" s="216"/>
      <c r="G3" s="216"/>
      <c r="H3" s="216"/>
      <c r="I3" s="216"/>
      <c r="J3" s="216"/>
      <c r="K3" s="216"/>
      <c r="L3" s="216"/>
      <c r="M3" s="216"/>
      <c r="N3" s="211"/>
      <c r="O3" s="211"/>
      <c r="P3" s="211"/>
      <c r="Q3" s="211"/>
      <c r="R3" s="158"/>
      <c r="S3" s="158"/>
      <c r="T3" s="158"/>
      <c r="U3" s="158"/>
      <c r="V3" s="158"/>
      <c r="W3" s="158"/>
      <c r="X3" s="158"/>
      <c r="Y3" s="158"/>
      <c r="Z3" s="159"/>
      <c r="AA3" s="160"/>
      <c r="AB3" s="158"/>
    </row>
    <row r="4" spans="1:140" s="1" customFormat="1" ht="19.95" customHeight="1">
      <c r="A4" s="242" t="s">
        <v>1050</v>
      </c>
      <c r="B4" s="244" t="s">
        <v>1051</v>
      </c>
      <c r="C4" s="246" t="s">
        <v>1029</v>
      </c>
      <c r="D4" s="247" t="s">
        <v>1037</v>
      </c>
      <c r="E4" s="248" t="s">
        <v>1038</v>
      </c>
      <c r="F4" s="249"/>
      <c r="G4" s="249"/>
      <c r="H4" s="249"/>
      <c r="I4" s="249"/>
      <c r="J4" s="249"/>
      <c r="K4" s="250"/>
      <c r="L4" s="251" t="s">
        <v>1035</v>
      </c>
      <c r="M4" s="251" t="s">
        <v>1054</v>
      </c>
      <c r="N4" s="251" t="s">
        <v>1039</v>
      </c>
      <c r="O4" s="252" t="s">
        <v>1060</v>
      </c>
      <c r="P4" s="253" t="s">
        <v>1056</v>
      </c>
      <c r="Q4" s="253" t="s">
        <v>1057</v>
      </c>
      <c r="R4" s="253" t="s">
        <v>1055</v>
      </c>
      <c r="S4" s="253" t="s">
        <v>1061</v>
      </c>
      <c r="T4" s="255" t="s">
        <v>1059</v>
      </c>
      <c r="U4" s="255" t="s">
        <v>1036</v>
      </c>
      <c r="V4" s="256" t="s">
        <v>1040</v>
      </c>
      <c r="W4" s="257" t="s">
        <v>1041</v>
      </c>
      <c r="X4" s="258" t="s">
        <v>1024</v>
      </c>
      <c r="Y4" s="251" t="s">
        <v>1062</v>
      </c>
      <c r="Z4" s="244" t="s">
        <v>1052</v>
      </c>
      <c r="AA4" s="259" t="s">
        <v>1058</v>
      </c>
      <c r="AB4" s="254" t="s">
        <v>1030</v>
      </c>
      <c r="AC4" s="236">
        <v>43709</v>
      </c>
      <c r="AD4" s="237"/>
      <c r="AE4" s="237"/>
      <c r="AF4" s="237"/>
      <c r="AG4" s="237">
        <v>43737</v>
      </c>
      <c r="AH4" s="237"/>
      <c r="AI4" s="237"/>
      <c r="AJ4" s="237"/>
      <c r="AK4" s="237">
        <v>43765</v>
      </c>
      <c r="AL4" s="237"/>
      <c r="AM4" s="237"/>
      <c r="AN4" s="237"/>
      <c r="AO4" s="237">
        <v>43793</v>
      </c>
      <c r="AP4" s="237"/>
      <c r="AQ4" s="237"/>
      <c r="AR4" s="239"/>
    </row>
    <row r="5" spans="1:140" s="2" customFormat="1" ht="4.95" customHeight="1">
      <c r="A5" s="243"/>
      <c r="B5" s="245"/>
      <c r="C5" s="242"/>
      <c r="D5" s="247"/>
      <c r="E5" s="248"/>
      <c r="F5" s="249"/>
      <c r="G5" s="249"/>
      <c r="H5" s="249"/>
      <c r="I5" s="249"/>
      <c r="J5" s="249"/>
      <c r="K5" s="250"/>
      <c r="L5" s="251"/>
      <c r="M5" s="251"/>
      <c r="N5" s="251"/>
      <c r="O5" s="252"/>
      <c r="P5" s="253"/>
      <c r="Q5" s="253"/>
      <c r="R5" s="253"/>
      <c r="S5" s="253"/>
      <c r="T5" s="251"/>
      <c r="U5" s="251"/>
      <c r="V5" s="256"/>
      <c r="W5" s="257"/>
      <c r="X5" s="258"/>
      <c r="Y5" s="251"/>
      <c r="Z5" s="244"/>
      <c r="AA5" s="259"/>
      <c r="AB5" s="254"/>
      <c r="AC5" s="112">
        <v>43709</v>
      </c>
      <c r="AD5" s="113">
        <v>43716</v>
      </c>
      <c r="AE5" s="113">
        <v>43723</v>
      </c>
      <c r="AF5" s="113">
        <v>43730</v>
      </c>
      <c r="AG5" s="113">
        <v>43737</v>
      </c>
      <c r="AH5" s="113">
        <v>43744</v>
      </c>
      <c r="AI5" s="113">
        <v>43751</v>
      </c>
      <c r="AJ5" s="113">
        <v>43758</v>
      </c>
      <c r="AK5" s="113">
        <v>43765</v>
      </c>
      <c r="AL5" s="113">
        <v>43772</v>
      </c>
      <c r="AM5" s="113">
        <v>43779</v>
      </c>
      <c r="AN5" s="113">
        <v>43786</v>
      </c>
      <c r="AO5" s="113">
        <v>43793</v>
      </c>
      <c r="AP5" s="113">
        <v>43800</v>
      </c>
      <c r="AQ5" s="113">
        <v>43807</v>
      </c>
      <c r="AR5" s="115">
        <v>43814</v>
      </c>
      <c r="AS5" s="121"/>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c r="BX5" s="122"/>
      <c r="BY5" s="122"/>
      <c r="BZ5" s="122"/>
      <c r="CA5" s="122"/>
      <c r="CB5" s="122"/>
      <c r="CC5" s="122"/>
      <c r="CD5" s="122"/>
      <c r="CE5" s="122"/>
      <c r="CF5" s="122"/>
      <c r="CG5" s="122"/>
      <c r="CH5" s="122"/>
      <c r="CI5" s="122"/>
      <c r="CJ5" s="122"/>
      <c r="CK5" s="122"/>
      <c r="CL5" s="122"/>
      <c r="CM5" s="122"/>
      <c r="CN5" s="122"/>
      <c r="CO5" s="122"/>
      <c r="CP5" s="122"/>
      <c r="CQ5" s="122"/>
      <c r="CR5" s="122"/>
      <c r="CS5" s="122"/>
      <c r="CT5" s="122"/>
      <c r="CU5" s="122"/>
      <c r="CV5" s="122"/>
      <c r="CW5" s="122"/>
      <c r="CX5" s="122"/>
      <c r="CY5" s="122"/>
      <c r="CZ5" s="122"/>
      <c r="DA5" s="122"/>
      <c r="DB5" s="122"/>
      <c r="DC5" s="122"/>
      <c r="DD5" s="122"/>
      <c r="DE5" s="122"/>
      <c r="DF5" s="122"/>
      <c r="DG5" s="122"/>
      <c r="DH5" s="122"/>
      <c r="DI5" s="122"/>
      <c r="DJ5" s="122"/>
      <c r="DK5" s="122"/>
      <c r="DL5" s="122"/>
      <c r="DM5" s="122"/>
      <c r="DN5" s="122"/>
      <c r="DO5" s="122"/>
      <c r="DP5" s="122"/>
      <c r="DQ5" s="122"/>
      <c r="DR5" s="122"/>
      <c r="DS5" s="122"/>
      <c r="DT5" s="122"/>
      <c r="DU5" s="122"/>
      <c r="DV5" s="122"/>
      <c r="DW5" s="122"/>
      <c r="DX5" s="122"/>
      <c r="DY5" s="122"/>
      <c r="DZ5" s="122"/>
      <c r="EA5" s="122"/>
      <c r="EB5" s="122"/>
      <c r="EC5" s="122"/>
      <c r="ED5" s="122"/>
      <c r="EE5" s="122"/>
      <c r="EF5" s="122"/>
      <c r="EG5" s="122"/>
      <c r="EH5" s="122"/>
      <c r="EI5" s="122"/>
      <c r="EJ5" s="122"/>
    </row>
    <row r="6" spans="1:140" ht="13.2">
      <c r="A6" s="116"/>
      <c r="B6" s="116" t="s">
        <v>987</v>
      </c>
      <c r="C6" s="116">
        <v>1</v>
      </c>
      <c r="D6" s="3" t="s">
        <v>988</v>
      </c>
      <c r="E6" s="233" t="s">
        <v>1081</v>
      </c>
      <c r="F6" s="234"/>
      <c r="G6" s="234"/>
      <c r="H6" s="234"/>
      <c r="I6" s="234"/>
      <c r="J6" s="234"/>
      <c r="K6" s="234"/>
      <c r="L6" s="208"/>
      <c r="M6" s="181">
        <v>43713</v>
      </c>
      <c r="N6" s="181">
        <v>43730</v>
      </c>
      <c r="O6" s="184"/>
      <c r="P6" s="183">
        <v>10</v>
      </c>
      <c r="Q6" s="183">
        <v>10</v>
      </c>
      <c r="R6" s="184">
        <v>10</v>
      </c>
      <c r="S6" s="184">
        <v>10</v>
      </c>
      <c r="T6" s="181"/>
      <c r="U6" s="181"/>
      <c r="V6" s="185">
        <v>0</v>
      </c>
      <c r="W6" s="186">
        <v>0</v>
      </c>
      <c r="X6" s="187"/>
      <c r="Y6" s="182"/>
      <c r="Z6" s="188"/>
      <c r="AA6" s="97">
        <v>1</v>
      </c>
      <c r="AB6" s="189">
        <v>0</v>
      </c>
      <c r="AC6" s="123" t="str">
        <f>"    " &amp; TEXT(AB6,"#0.00%") &amp; " " &amp; "요구 분석" &amp; " " &amp; IF(M6="","",TEXT(M6,"M/D-")) &amp; IF(N6="","",TEXT(N6,"M/D")) &amp; " "</f>
        <v xml:space="preserve">    0.00% 요구 분석 9/5-9/22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row>
    <row r="7" spans="1:140" ht="13.2" outlineLevel="1">
      <c r="A7" s="116"/>
      <c r="B7" s="116"/>
      <c r="C7" s="116">
        <v>2</v>
      </c>
      <c r="D7" s="3" t="s">
        <v>989</v>
      </c>
      <c r="E7" s="234"/>
      <c r="F7" s="233" t="s">
        <v>1063</v>
      </c>
      <c r="G7" s="233"/>
      <c r="H7" s="233"/>
      <c r="I7" s="233"/>
      <c r="J7" s="233"/>
      <c r="K7" s="234"/>
      <c r="L7" s="208"/>
      <c r="M7" s="181">
        <v>43713</v>
      </c>
      <c r="N7" s="181">
        <v>43730</v>
      </c>
      <c r="O7" s="184"/>
      <c r="P7" s="183">
        <v>10</v>
      </c>
      <c r="Q7" s="183">
        <v>10</v>
      </c>
      <c r="R7" s="184">
        <v>10</v>
      </c>
      <c r="S7" s="184">
        <v>10</v>
      </c>
      <c r="T7" s="181"/>
      <c r="U7" s="181"/>
      <c r="V7" s="185"/>
      <c r="W7" s="186">
        <v>0</v>
      </c>
      <c r="X7" s="187">
        <v>1</v>
      </c>
      <c r="Y7" s="215" t="s">
        <v>1075</v>
      </c>
      <c r="Z7" s="188" t="s">
        <v>1079</v>
      </c>
      <c r="AA7" s="97">
        <v>1</v>
      </c>
      <c r="AB7" s="189">
        <v>0</v>
      </c>
      <c r="AC7" s="123" t="str">
        <f>"    " &amp; TEXT(AB7,"#0.00%") &amp; " " &amp; "요구사항 정의" &amp; "(팀원 전체)" &amp; " " &amp; IF(M7="","",TEXT(M7,"M/D-")) &amp; IF(N7="","",TEXT(N7,"M/D")) &amp; " "</f>
        <v xml:space="preserve">    0.00% 요구사항 정의(팀원 전체) 9/5-9/22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row>
    <row r="8" spans="1:140" ht="13.2">
      <c r="A8" s="116"/>
      <c r="B8" s="116" t="s">
        <v>987</v>
      </c>
      <c r="C8" s="116">
        <v>1</v>
      </c>
      <c r="D8" s="3" t="s">
        <v>1088</v>
      </c>
      <c r="E8" s="233" t="s">
        <v>968</v>
      </c>
      <c r="F8" s="234"/>
      <c r="G8" s="234"/>
      <c r="H8" s="234"/>
      <c r="I8" s="234"/>
      <c r="J8" s="234"/>
      <c r="K8" s="234"/>
      <c r="L8" s="208"/>
      <c r="M8" s="181">
        <v>43731</v>
      </c>
      <c r="N8" s="181">
        <v>43758</v>
      </c>
      <c r="O8" s="184"/>
      <c r="P8" s="183">
        <v>54</v>
      </c>
      <c r="Q8" s="183">
        <v>54</v>
      </c>
      <c r="R8" s="184">
        <v>18</v>
      </c>
      <c r="S8" s="184">
        <v>18</v>
      </c>
      <c r="T8" s="181"/>
      <c r="U8" s="181"/>
      <c r="V8" s="185">
        <v>0</v>
      </c>
      <c r="W8" s="186">
        <v>0</v>
      </c>
      <c r="X8" s="187"/>
      <c r="Y8" s="182"/>
      <c r="Z8" s="188"/>
      <c r="AA8" s="97">
        <v>1</v>
      </c>
      <c r="AB8" s="189">
        <v>0</v>
      </c>
      <c r="AC8" s="123"/>
      <c r="AD8" s="4"/>
      <c r="AE8" s="4"/>
      <c r="AF8" s="4" t="str">
        <f>" " &amp; TEXT(AB8,"#0.00%") &amp; " "</f>
        <v xml:space="preserve"> 0.00% </v>
      </c>
      <c r="AG8" s="4"/>
      <c r="AH8" s="4"/>
      <c r="AI8" s="4"/>
      <c r="AJ8" s="4" t="str">
        <f>" " &amp; "설계" &amp; " " &amp; IF(M8="","",TEXT(M8,"M/D-")) &amp; IF(N8="","",TEXT(N8,"M/D")) &amp; " "</f>
        <v xml:space="preserve"> 설계 9/23-10/20 </v>
      </c>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row>
    <row r="9" spans="1:140" ht="13.2" outlineLevel="1">
      <c r="A9" s="116"/>
      <c r="B9" s="116" t="s">
        <v>987</v>
      </c>
      <c r="C9" s="116">
        <v>2</v>
      </c>
      <c r="D9" s="3" t="s">
        <v>1089</v>
      </c>
      <c r="E9" s="234"/>
      <c r="F9" s="233" t="s">
        <v>1067</v>
      </c>
      <c r="G9" s="233"/>
      <c r="H9" s="233"/>
      <c r="I9" s="233"/>
      <c r="J9" s="233"/>
      <c r="K9" s="234"/>
      <c r="L9" s="208"/>
      <c r="M9" s="181">
        <v>43731</v>
      </c>
      <c r="N9" s="181">
        <v>43758</v>
      </c>
      <c r="O9" s="184"/>
      <c r="P9" s="183">
        <v>18</v>
      </c>
      <c r="Q9" s="183">
        <v>18</v>
      </c>
      <c r="R9" s="184">
        <v>18</v>
      </c>
      <c r="S9" s="184">
        <v>18</v>
      </c>
      <c r="T9" s="181"/>
      <c r="U9" s="181"/>
      <c r="V9" s="185">
        <v>0</v>
      </c>
      <c r="W9" s="186">
        <v>0</v>
      </c>
      <c r="X9" s="187"/>
      <c r="Y9" s="182"/>
      <c r="Z9" s="188"/>
      <c r="AA9" s="97">
        <v>1</v>
      </c>
      <c r="AB9" s="189">
        <v>0</v>
      </c>
      <c r="AC9" s="123"/>
      <c r="AD9" s="4"/>
      <c r="AE9" s="4"/>
      <c r="AF9" s="4" t="str">
        <f>" " &amp; TEXT(AB9,"#0.00%") &amp; " "</f>
        <v xml:space="preserve"> 0.00% </v>
      </c>
      <c r="AG9" s="4"/>
      <c r="AH9" s="4"/>
      <c r="AI9" s="4"/>
      <c r="AJ9" s="4" t="str">
        <f>" " &amp; "메인(서브 프로젝트 1)" &amp; " " &amp; IF(M9="","",TEXT(M9,"M/D-")) &amp; IF(N9="","",TEXT(N9,"M/D")) &amp; " "</f>
        <v xml:space="preserve"> 메인(서브 프로젝트 1) 9/23-10/20 </v>
      </c>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row>
    <row r="10" spans="1:140" ht="13.2" outlineLevel="2">
      <c r="A10" s="116"/>
      <c r="B10" s="116"/>
      <c r="C10" s="116">
        <v>3</v>
      </c>
      <c r="D10" s="3" t="s">
        <v>965</v>
      </c>
      <c r="E10" s="234"/>
      <c r="F10" s="233"/>
      <c r="G10" s="233" t="s">
        <v>1064</v>
      </c>
      <c r="H10" s="233"/>
      <c r="I10" s="233"/>
      <c r="J10" s="233"/>
      <c r="K10" s="234"/>
      <c r="L10" s="208"/>
      <c r="M10" s="181">
        <v>43731</v>
      </c>
      <c r="N10" s="181">
        <v>43737</v>
      </c>
      <c r="O10" s="184"/>
      <c r="P10" s="208">
        <v>5</v>
      </c>
      <c r="Q10" s="183">
        <v>5</v>
      </c>
      <c r="R10" s="184">
        <v>5</v>
      </c>
      <c r="S10" s="184">
        <v>5</v>
      </c>
      <c r="T10" s="181"/>
      <c r="U10" s="181"/>
      <c r="V10" s="185"/>
      <c r="W10" s="186">
        <v>0</v>
      </c>
      <c r="X10" s="187">
        <v>1</v>
      </c>
      <c r="Y10" s="231" t="s">
        <v>1082</v>
      </c>
      <c r="Z10" s="188"/>
      <c r="AA10" s="97">
        <v>1</v>
      </c>
      <c r="AB10" s="189">
        <v>0</v>
      </c>
      <c r="AC10" s="123"/>
      <c r="AD10" s="4"/>
      <c r="AE10" s="4"/>
      <c r="AF10" s="4" t="str">
        <f>" " &amp; TEXT(AB10,"#0.00%") &amp; " " &amp; "프로그램 설계" &amp; "(김미주)" &amp; " " &amp; IF(M10="","",TEXT(M10,"M/D-")) &amp; IF(N10="","",TEXT(N10,"M/D")) &amp; " "</f>
        <v xml:space="preserve"> 0.00% 프로그램 설계(김미주) 9/23-9/29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row>
    <row r="11" spans="1:140" ht="13.2" outlineLevel="2">
      <c r="A11" s="116"/>
      <c r="B11" s="116"/>
      <c r="C11" s="116">
        <v>3</v>
      </c>
      <c r="D11" s="3" t="s">
        <v>1090</v>
      </c>
      <c r="E11" s="234"/>
      <c r="F11" s="234"/>
      <c r="G11" s="234" t="s">
        <v>1074</v>
      </c>
      <c r="H11" s="234"/>
      <c r="I11" s="234"/>
      <c r="J11" s="234"/>
      <c r="K11" s="234"/>
      <c r="L11" s="208"/>
      <c r="M11" s="181">
        <v>43738</v>
      </c>
      <c r="N11" s="181">
        <v>43744</v>
      </c>
      <c r="O11" s="184"/>
      <c r="P11" s="183">
        <v>4</v>
      </c>
      <c r="Q11" s="183">
        <v>4</v>
      </c>
      <c r="R11" s="184">
        <v>4</v>
      </c>
      <c r="S11" s="184">
        <v>4</v>
      </c>
      <c r="T11" s="181"/>
      <c r="U11" s="181"/>
      <c r="V11" s="185"/>
      <c r="W11" s="186">
        <v>0</v>
      </c>
      <c r="X11" s="187">
        <v>1</v>
      </c>
      <c r="Y11" s="231" t="s">
        <v>1083</v>
      </c>
      <c r="Z11" s="188"/>
      <c r="AA11" s="97">
        <v>1</v>
      </c>
      <c r="AB11" s="189">
        <v>0</v>
      </c>
      <c r="AC11" s="123"/>
      <c r="AD11" s="4"/>
      <c r="AE11" s="4"/>
      <c r="AF11" s="4"/>
      <c r="AG11" s="4" t="str">
        <f>" " &amp; TEXT(AB11,"#0.00%") &amp; " " &amp; "UX 설계" &amp; "(이수진)" &amp; " " &amp; IF(M11="","",TEXT(M11,"M/D-")) &amp; IF(N11="","",TEXT(N11,"M/D")) &amp; " "</f>
        <v xml:space="preserve"> 0.00% UX 설계(이수진) 9/30-10/6 </v>
      </c>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row>
    <row r="12" spans="1:140" ht="13.2" outlineLevel="2">
      <c r="A12" s="116"/>
      <c r="B12" s="116"/>
      <c r="C12" s="116">
        <v>3</v>
      </c>
      <c r="D12" s="3" t="s">
        <v>1091</v>
      </c>
      <c r="E12" s="234"/>
      <c r="F12" s="234"/>
      <c r="G12" s="234" t="s">
        <v>1069</v>
      </c>
      <c r="H12" s="234"/>
      <c r="I12" s="234"/>
      <c r="J12" s="234"/>
      <c r="K12" s="234"/>
      <c r="L12" s="208"/>
      <c r="M12" s="181">
        <v>43745</v>
      </c>
      <c r="N12" s="181">
        <v>43758</v>
      </c>
      <c r="O12" s="184"/>
      <c r="P12" s="183">
        <v>9</v>
      </c>
      <c r="Q12" s="183">
        <v>9</v>
      </c>
      <c r="R12" s="184">
        <v>9</v>
      </c>
      <c r="S12" s="184">
        <v>9</v>
      </c>
      <c r="T12" s="181"/>
      <c r="U12" s="181"/>
      <c r="V12" s="185"/>
      <c r="W12" s="186">
        <v>0</v>
      </c>
      <c r="X12" s="187">
        <v>1</v>
      </c>
      <c r="Y12" s="215" t="s">
        <v>1084</v>
      </c>
      <c r="Z12" s="188"/>
      <c r="AA12" s="97">
        <v>1</v>
      </c>
      <c r="AB12" s="189">
        <v>0</v>
      </c>
      <c r="AC12" s="123"/>
      <c r="AD12" s="4"/>
      <c r="AE12" s="4"/>
      <c r="AF12" s="4"/>
      <c r="AG12" s="4"/>
      <c r="AH12" s="4" t="str">
        <f>" " &amp; TEXT(AB12,"#0.00%") &amp; " " &amp; "DB 설계" &amp; "(김미주, 이수진)" &amp; " " &amp; IF(M12="","",TEXT(M12,"M/D-")) &amp; IF(N12="","",TEXT(N12,"M/D")) &amp; " "</f>
        <v xml:space="preserve"> 0.00% DB 설계(김미주, 이수진) 10/7-10/20 </v>
      </c>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row>
    <row r="13" spans="1:140" ht="13.2" outlineLevel="1">
      <c r="A13" s="116"/>
      <c r="B13" s="116" t="s">
        <v>987</v>
      </c>
      <c r="C13" s="116">
        <v>2</v>
      </c>
      <c r="D13" s="3" t="s">
        <v>1092</v>
      </c>
      <c r="E13" s="234"/>
      <c r="F13" s="233" t="s">
        <v>1068</v>
      </c>
      <c r="G13" s="233"/>
      <c r="H13" s="233"/>
      <c r="I13" s="233"/>
      <c r="J13" s="233"/>
      <c r="K13" s="234"/>
      <c r="L13" s="208"/>
      <c r="M13" s="181">
        <v>43731</v>
      </c>
      <c r="N13" s="181">
        <v>43758</v>
      </c>
      <c r="O13" s="184"/>
      <c r="P13" s="183">
        <v>18</v>
      </c>
      <c r="Q13" s="183">
        <v>18</v>
      </c>
      <c r="R13" s="184">
        <v>18</v>
      </c>
      <c r="S13" s="184">
        <v>18</v>
      </c>
      <c r="T13" s="181"/>
      <c r="U13" s="181"/>
      <c r="V13" s="185">
        <v>0</v>
      </c>
      <c r="W13" s="186">
        <v>0</v>
      </c>
      <c r="X13" s="187"/>
      <c r="Y13" s="182"/>
      <c r="Z13" s="188"/>
      <c r="AA13" s="97">
        <v>1</v>
      </c>
      <c r="AB13" s="189">
        <v>0</v>
      </c>
      <c r="AC13" s="123"/>
      <c r="AD13" s="4"/>
      <c r="AE13" s="4"/>
      <c r="AF13" s="4" t="str">
        <f>" " &amp; TEXT(AB13,"#0.00%") &amp; " "</f>
        <v xml:space="preserve"> 0.00% </v>
      </c>
      <c r="AG13" s="4"/>
      <c r="AH13" s="4"/>
      <c r="AI13" s="4"/>
      <c r="AJ13" s="4" t="str">
        <f>" " &amp; "환자(서브 프로젝트 2)" &amp; " " &amp; IF(M13="","",TEXT(M13,"M/D-")) &amp; IF(N13="","",TEXT(N13,"M/D")) &amp; " "</f>
        <v xml:space="preserve"> 환자(서브 프로젝트 2) 9/23-10/20 </v>
      </c>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row>
    <row r="14" spans="1:140" ht="13.2" outlineLevel="2">
      <c r="A14" s="116"/>
      <c r="B14" s="116"/>
      <c r="C14" s="116">
        <v>3</v>
      </c>
      <c r="D14" s="3" t="s">
        <v>966</v>
      </c>
      <c r="E14" s="234"/>
      <c r="F14" s="233"/>
      <c r="G14" s="233" t="s">
        <v>1064</v>
      </c>
      <c r="H14" s="233"/>
      <c r="I14" s="233"/>
      <c r="J14" s="233"/>
      <c r="K14" s="234"/>
      <c r="L14" s="208"/>
      <c r="M14" s="181">
        <v>43731</v>
      </c>
      <c r="N14" s="181">
        <v>43744</v>
      </c>
      <c r="O14" s="184"/>
      <c r="P14" s="183">
        <v>9</v>
      </c>
      <c r="Q14" s="183">
        <v>9</v>
      </c>
      <c r="R14" s="184">
        <v>9</v>
      </c>
      <c r="S14" s="184">
        <v>9</v>
      </c>
      <c r="T14" s="181"/>
      <c r="U14" s="181"/>
      <c r="V14" s="185"/>
      <c r="W14" s="186">
        <v>0</v>
      </c>
      <c r="X14" s="187">
        <v>1</v>
      </c>
      <c r="Y14" s="215" t="s">
        <v>1085</v>
      </c>
      <c r="Z14" s="188"/>
      <c r="AA14" s="97">
        <v>1</v>
      </c>
      <c r="AB14" s="189">
        <v>0</v>
      </c>
      <c r="AC14" s="123"/>
      <c r="AD14" s="4"/>
      <c r="AE14" s="4"/>
      <c r="AF14" s="4" t="str">
        <f>" " &amp; TEXT(AB14,"#0.00%") &amp; " " &amp; "프로그램 설계" &amp; "(강민주)" &amp; " " &amp; IF(M14="","",TEXT(M14,"M/D-")) &amp; IF(N14="","",TEXT(N14,"M/D")) &amp; " "</f>
        <v xml:space="preserve"> 0.00% 프로그램 설계(강민주) 9/23-10/6 </v>
      </c>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row>
    <row r="15" spans="1:140" ht="13.2" outlineLevel="2">
      <c r="A15" s="116"/>
      <c r="B15" s="116"/>
      <c r="C15" s="116">
        <v>3</v>
      </c>
      <c r="D15" s="3" t="s">
        <v>1093</v>
      </c>
      <c r="E15" s="234"/>
      <c r="F15" s="234"/>
      <c r="G15" s="234" t="s">
        <v>1074</v>
      </c>
      <c r="H15" s="234"/>
      <c r="I15" s="234"/>
      <c r="J15" s="234"/>
      <c r="K15" s="234"/>
      <c r="L15" s="208"/>
      <c r="M15" s="181">
        <v>43745</v>
      </c>
      <c r="N15" s="181">
        <v>43758</v>
      </c>
      <c r="O15" s="184"/>
      <c r="P15" s="183">
        <v>9</v>
      </c>
      <c r="Q15" s="183">
        <v>9</v>
      </c>
      <c r="R15" s="184">
        <v>9</v>
      </c>
      <c r="S15" s="184">
        <v>9</v>
      </c>
      <c r="T15" s="181"/>
      <c r="U15" s="181"/>
      <c r="V15" s="185"/>
      <c r="W15" s="186">
        <v>0</v>
      </c>
      <c r="X15" s="187">
        <v>1</v>
      </c>
      <c r="Y15" s="215" t="s">
        <v>1086</v>
      </c>
      <c r="Z15" s="188"/>
      <c r="AA15" s="97">
        <v>1</v>
      </c>
      <c r="AB15" s="189">
        <v>0</v>
      </c>
      <c r="AC15" s="123"/>
      <c r="AD15" s="4"/>
      <c r="AE15" s="4"/>
      <c r="AF15" s="4"/>
      <c r="AG15" s="4"/>
      <c r="AH15" s="4" t="str">
        <f>" " &amp; TEXT(AB15,"#0.00%") &amp; " " &amp; "UX 설계" &amp; "(백지원)" &amp; " " &amp; IF(M15="","",TEXT(M15,"M/D-")) &amp; IF(N15="","",TEXT(N15,"M/D")) &amp; " "</f>
        <v xml:space="preserve"> 0.00% UX 설계(백지원) 10/7-10/20 </v>
      </c>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row>
    <row r="16" spans="1:140" ht="13.2" outlineLevel="1">
      <c r="A16" s="116"/>
      <c r="B16" s="116" t="s">
        <v>987</v>
      </c>
      <c r="C16" s="116">
        <v>2</v>
      </c>
      <c r="D16" s="3" t="s">
        <v>1094</v>
      </c>
      <c r="E16" s="234"/>
      <c r="F16" s="233" t="s">
        <v>1110</v>
      </c>
      <c r="G16" s="233"/>
      <c r="H16" s="233"/>
      <c r="I16" s="233"/>
      <c r="J16" s="233"/>
      <c r="K16" s="234"/>
      <c r="L16" s="208"/>
      <c r="M16" s="181">
        <v>43731</v>
      </c>
      <c r="N16" s="181">
        <v>43758</v>
      </c>
      <c r="O16" s="184"/>
      <c r="P16" s="183">
        <v>18</v>
      </c>
      <c r="Q16" s="183">
        <v>18</v>
      </c>
      <c r="R16" s="184">
        <v>18</v>
      </c>
      <c r="S16" s="184">
        <v>18</v>
      </c>
      <c r="T16" s="181"/>
      <c r="U16" s="181"/>
      <c r="V16" s="185">
        <v>0</v>
      </c>
      <c r="W16" s="186">
        <v>0</v>
      </c>
      <c r="X16" s="187"/>
      <c r="Y16" s="182"/>
      <c r="Z16" s="188"/>
      <c r="AA16" s="97">
        <v>1</v>
      </c>
      <c r="AB16" s="189">
        <v>0</v>
      </c>
      <c r="AC16" s="123"/>
      <c r="AD16" s="4"/>
      <c r="AE16" s="4"/>
      <c r="AF16" s="4" t="str">
        <f>" " &amp; TEXT(AB16,"#0.00%") &amp; " "</f>
        <v xml:space="preserve"> 0.00% </v>
      </c>
      <c r="AG16" s="4"/>
      <c r="AH16" s="4"/>
      <c r="AI16" s="4"/>
      <c r="AJ16" s="4" t="str">
        <f>" " &amp; "의사(서브 프로젝트 3)" &amp; " " &amp; IF(M16="","",TEXT(M16,"M/D-")) &amp; IF(N16="","",TEXT(N16,"M/D")) &amp; " "</f>
        <v xml:space="preserve"> 의사(서브 프로젝트 3) 9/23-10/20 </v>
      </c>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row>
    <row r="17" spans="1:140" ht="13.2" outlineLevel="2">
      <c r="A17" s="116"/>
      <c r="B17" s="116"/>
      <c r="C17" s="116">
        <v>3</v>
      </c>
      <c r="D17" s="3" t="s">
        <v>1095</v>
      </c>
      <c r="E17" s="234"/>
      <c r="F17" s="233"/>
      <c r="G17" s="233" t="s">
        <v>1064</v>
      </c>
      <c r="H17" s="233"/>
      <c r="I17" s="233"/>
      <c r="J17" s="233"/>
      <c r="K17" s="234"/>
      <c r="L17" s="232"/>
      <c r="M17" s="181">
        <v>43731</v>
      </c>
      <c r="N17" s="181">
        <v>43744</v>
      </c>
      <c r="O17" s="184"/>
      <c r="P17" s="183">
        <v>9</v>
      </c>
      <c r="Q17" s="183">
        <v>9</v>
      </c>
      <c r="R17" s="184">
        <v>9</v>
      </c>
      <c r="S17" s="184">
        <v>9</v>
      </c>
      <c r="T17" s="181"/>
      <c r="U17" s="181"/>
      <c r="V17" s="185"/>
      <c r="W17" s="186">
        <v>0</v>
      </c>
      <c r="X17" s="187">
        <v>1</v>
      </c>
      <c r="Y17" s="231" t="s">
        <v>1087</v>
      </c>
      <c r="Z17" s="188"/>
      <c r="AA17" s="97">
        <v>1</v>
      </c>
      <c r="AB17" s="189">
        <v>0</v>
      </c>
      <c r="AC17" s="123"/>
      <c r="AD17" s="4"/>
      <c r="AE17" s="4"/>
      <c r="AF17" s="4" t="str">
        <f>" " &amp; TEXT(AB17,"#0.00%") &amp; " " &amp; "프로그램 설계" &amp; "(공애리)" &amp; " " &amp; IF(M17="","",TEXT(M17,"M/D-")) &amp; IF(N17="","",TEXT(N17,"M/D")) &amp; " "</f>
        <v xml:space="preserve"> 0.00% 프로그램 설계(공애리) 9/23-10/6 </v>
      </c>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row>
    <row r="18" spans="1:140" ht="13.2" outlineLevel="2">
      <c r="A18" s="116"/>
      <c r="B18" s="116"/>
      <c r="C18" s="116">
        <v>3</v>
      </c>
      <c r="D18" s="3" t="s">
        <v>1096</v>
      </c>
      <c r="E18" s="234"/>
      <c r="F18" s="234"/>
      <c r="G18" s="234" t="s">
        <v>1074</v>
      </c>
      <c r="H18" s="234"/>
      <c r="I18" s="234"/>
      <c r="J18" s="234"/>
      <c r="K18" s="234"/>
      <c r="L18" s="208"/>
      <c r="M18" s="181">
        <v>43745</v>
      </c>
      <c r="N18" s="181">
        <v>43758</v>
      </c>
      <c r="O18" s="184"/>
      <c r="P18" s="183">
        <v>9</v>
      </c>
      <c r="Q18" s="183">
        <v>9</v>
      </c>
      <c r="R18" s="184">
        <v>9</v>
      </c>
      <c r="S18" s="184">
        <v>9</v>
      </c>
      <c r="T18" s="181"/>
      <c r="U18" s="181"/>
      <c r="V18" s="185"/>
      <c r="W18" s="186">
        <v>0</v>
      </c>
      <c r="X18" s="187">
        <v>1</v>
      </c>
      <c r="Y18" s="231" t="s">
        <v>1087</v>
      </c>
      <c r="Z18" s="188"/>
      <c r="AA18" s="97">
        <v>1</v>
      </c>
      <c r="AB18" s="189">
        <v>0</v>
      </c>
      <c r="AC18" s="123"/>
      <c r="AD18" s="4"/>
      <c r="AE18" s="4"/>
      <c r="AF18" s="4"/>
      <c r="AG18" s="4"/>
      <c r="AH18" s="4" t="str">
        <f>" " &amp; TEXT(AB18,"#0.00%") &amp; " " &amp; "UX 설계" &amp; "(공애리)" &amp; " " &amp; IF(M18="","",TEXT(M18,"M/D-")) &amp; IF(N18="","",TEXT(N18,"M/D")) &amp; " "</f>
        <v xml:space="preserve"> 0.00% UX 설계(공애리) 10/7-10/20 </v>
      </c>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row>
    <row r="19" spans="1:140" ht="13.2">
      <c r="A19" s="116"/>
      <c r="B19" s="116" t="s">
        <v>987</v>
      </c>
      <c r="C19" s="116">
        <v>1</v>
      </c>
      <c r="D19" s="3" t="s">
        <v>1097</v>
      </c>
      <c r="E19" s="233" t="s">
        <v>969</v>
      </c>
      <c r="F19" s="234"/>
      <c r="G19" s="234"/>
      <c r="H19" s="234"/>
      <c r="I19" s="234"/>
      <c r="J19" s="234"/>
      <c r="K19" s="234"/>
      <c r="L19" s="208"/>
      <c r="M19" s="181">
        <v>43759</v>
      </c>
      <c r="N19" s="181">
        <v>43807</v>
      </c>
      <c r="O19" s="184"/>
      <c r="P19" s="183">
        <v>159</v>
      </c>
      <c r="Q19" s="183">
        <v>159</v>
      </c>
      <c r="R19" s="184">
        <v>35</v>
      </c>
      <c r="S19" s="184">
        <v>35</v>
      </c>
      <c r="T19" s="181"/>
      <c r="U19" s="181"/>
      <c r="V19" s="185">
        <v>0</v>
      </c>
      <c r="W19" s="186">
        <v>0</v>
      </c>
      <c r="X19" s="187"/>
      <c r="Y19" s="182"/>
      <c r="Z19" s="188"/>
      <c r="AA19" s="97">
        <v>1</v>
      </c>
      <c r="AB19" s="189">
        <v>0</v>
      </c>
      <c r="AC19" s="123"/>
      <c r="AD19" s="4"/>
      <c r="AE19" s="4"/>
      <c r="AF19" s="4"/>
      <c r="AG19" s="4"/>
      <c r="AH19" s="4"/>
      <c r="AI19" s="4"/>
      <c r="AJ19" s="4" t="str">
        <f>" " &amp; TEXT(AB19,"#0.00%") &amp; " "</f>
        <v xml:space="preserve"> 0.00% </v>
      </c>
      <c r="AK19" s="4"/>
      <c r="AL19" s="4"/>
      <c r="AM19" s="4"/>
      <c r="AN19" s="4"/>
      <c r="AO19" s="4"/>
      <c r="AP19" s="4"/>
      <c r="AQ19" s="4" t="str">
        <f>" " &amp; "구현" &amp; " " &amp; IF(M19="","",TEXT(M19,"M/D-")) &amp; IF(N19="","",TEXT(N19,"M/D")) &amp; " "</f>
        <v xml:space="preserve"> 구현 10/21-12/8 </v>
      </c>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row>
    <row r="20" spans="1:140" ht="13.2" outlineLevel="1">
      <c r="A20" s="116"/>
      <c r="B20" s="116" t="s">
        <v>987</v>
      </c>
      <c r="C20" s="116">
        <v>2</v>
      </c>
      <c r="D20" s="3" t="s">
        <v>1098</v>
      </c>
      <c r="E20" s="234"/>
      <c r="F20" s="233" t="s">
        <v>1067</v>
      </c>
      <c r="G20" s="233"/>
      <c r="H20" s="233"/>
      <c r="I20" s="233"/>
      <c r="J20" s="233"/>
      <c r="K20" s="234"/>
      <c r="L20" s="208"/>
      <c r="M20" s="181">
        <v>43759</v>
      </c>
      <c r="N20" s="181">
        <v>43807</v>
      </c>
      <c r="O20" s="184"/>
      <c r="P20" s="183">
        <v>114</v>
      </c>
      <c r="Q20" s="183">
        <v>114</v>
      </c>
      <c r="R20" s="184">
        <v>35</v>
      </c>
      <c r="S20" s="184">
        <v>35</v>
      </c>
      <c r="T20" s="181"/>
      <c r="U20" s="181"/>
      <c r="V20" s="185">
        <v>0</v>
      </c>
      <c r="W20" s="186">
        <v>0</v>
      </c>
      <c r="X20" s="187"/>
      <c r="Y20" s="182"/>
      <c r="Z20" s="188"/>
      <c r="AA20" s="97">
        <v>1</v>
      </c>
      <c r="AB20" s="189">
        <v>0</v>
      </c>
      <c r="AC20" s="123"/>
      <c r="AD20" s="4"/>
      <c r="AE20" s="4"/>
      <c r="AF20" s="4"/>
      <c r="AG20" s="4"/>
      <c r="AH20" s="4"/>
      <c r="AI20" s="4"/>
      <c r="AJ20" s="4" t="str">
        <f>" " &amp; TEXT(AB20,"#0.00%") &amp; " "</f>
        <v xml:space="preserve"> 0.00% </v>
      </c>
      <c r="AK20" s="4"/>
      <c r="AL20" s="4"/>
      <c r="AM20" s="4"/>
      <c r="AN20" s="4"/>
      <c r="AO20" s="4"/>
      <c r="AP20" s="4"/>
      <c r="AQ20" s="4" t="str">
        <f>" " &amp; "메인(서브 프로젝트 1)" &amp; " " &amp; IF(M20="","",TEXT(M20,"M/D-")) &amp; IF(N20="","",TEXT(N20,"M/D")) &amp; " "</f>
        <v xml:space="preserve"> 메인(서브 프로젝트 1) 10/21-12/8 </v>
      </c>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row>
    <row r="21" spans="1:140" ht="13.2" outlineLevel="2">
      <c r="A21" s="116"/>
      <c r="B21" s="116"/>
      <c r="C21" s="116">
        <v>3</v>
      </c>
      <c r="D21" s="3" t="s">
        <v>1099</v>
      </c>
      <c r="E21" s="234"/>
      <c r="F21" s="233"/>
      <c r="G21" s="234" t="s">
        <v>1073</v>
      </c>
      <c r="H21" s="234"/>
      <c r="I21" s="234"/>
      <c r="J21" s="234"/>
      <c r="K21" s="234"/>
      <c r="L21" s="208"/>
      <c r="M21" s="181">
        <v>43759</v>
      </c>
      <c r="N21" s="181">
        <v>43772</v>
      </c>
      <c r="O21" s="184"/>
      <c r="P21" s="183">
        <v>10</v>
      </c>
      <c r="Q21" s="183">
        <v>10</v>
      </c>
      <c r="R21" s="184">
        <v>10</v>
      </c>
      <c r="S21" s="184">
        <v>10</v>
      </c>
      <c r="T21" s="181"/>
      <c r="U21" s="181"/>
      <c r="V21" s="185"/>
      <c r="W21" s="186">
        <v>0</v>
      </c>
      <c r="X21" s="187">
        <v>1</v>
      </c>
      <c r="Y21" s="215" t="s">
        <v>1082</v>
      </c>
      <c r="Z21" s="188"/>
      <c r="AA21" s="97">
        <v>1</v>
      </c>
      <c r="AB21" s="189">
        <v>0</v>
      </c>
      <c r="AC21" s="123"/>
      <c r="AD21" s="4"/>
      <c r="AE21" s="4"/>
      <c r="AF21" s="4"/>
      <c r="AG21" s="4"/>
      <c r="AH21" s="4"/>
      <c r="AI21" s="4"/>
      <c r="AJ21" s="4" t="str">
        <f>" " &amp; TEXT(AB21,"#0.00%") &amp; " " &amp; "UI 디자인" &amp; "(김미주)" &amp; " " &amp; IF(M21="","",TEXT(M21,"M/D-")) &amp; IF(N21="","",TEXT(N21,"M/D")) &amp; " "</f>
        <v xml:space="preserve"> 0.00% UI 디자인(김미주) 10/21-11/3 </v>
      </c>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row>
    <row r="22" spans="1:140" ht="13.2" outlineLevel="2">
      <c r="A22" s="116"/>
      <c r="B22" s="116"/>
      <c r="C22" s="116">
        <v>3</v>
      </c>
      <c r="D22" s="3" t="s">
        <v>1100</v>
      </c>
      <c r="E22" s="234"/>
      <c r="F22" s="234"/>
      <c r="G22" s="233" t="s">
        <v>1111</v>
      </c>
      <c r="H22" s="233"/>
      <c r="I22" s="233"/>
      <c r="J22" s="233"/>
      <c r="K22" s="234"/>
      <c r="L22" s="208"/>
      <c r="M22" s="181">
        <v>43773</v>
      </c>
      <c r="N22" s="181">
        <v>43797</v>
      </c>
      <c r="O22" s="184"/>
      <c r="P22" s="183">
        <v>19</v>
      </c>
      <c r="Q22" s="183">
        <v>19</v>
      </c>
      <c r="R22" s="184">
        <v>19</v>
      </c>
      <c r="S22" s="184">
        <v>19</v>
      </c>
      <c r="T22" s="181"/>
      <c r="U22" s="181"/>
      <c r="V22" s="185"/>
      <c r="W22" s="186">
        <v>0</v>
      </c>
      <c r="X22" s="187">
        <v>1</v>
      </c>
      <c r="Y22" s="215" t="s">
        <v>1086</v>
      </c>
      <c r="Z22" s="188"/>
      <c r="AA22" s="97">
        <v>1</v>
      </c>
      <c r="AB22" s="189">
        <v>0</v>
      </c>
      <c r="AC22" s="123"/>
      <c r="AD22" s="4"/>
      <c r="AE22" s="4"/>
      <c r="AF22" s="4"/>
      <c r="AG22" s="4"/>
      <c r="AH22" s="4"/>
      <c r="AI22" s="4"/>
      <c r="AJ22" s="4"/>
      <c r="AK22" s="4"/>
      <c r="AL22" s="4" t="str">
        <f>" " &amp; TEXT(AB22,"#0.00%") &amp; " "</f>
        <v xml:space="preserve"> 0.00% </v>
      </c>
      <c r="AM22" s="4"/>
      <c r="AN22" s="4"/>
      <c r="AO22" s="4" t="str">
        <f>"     " &amp; "php와 mysql DB 연결" &amp; "(백지원)" &amp; " " &amp; IF(M22="","",TEXT(M22,"M/D-")) &amp; IF(N22="","",TEXT(N22,"M/D")) &amp; " "</f>
        <v xml:space="preserve">     php와 mysql DB 연결(백지원) 11/4-11/28 </v>
      </c>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row>
    <row r="23" spans="1:140" ht="13.2" outlineLevel="2">
      <c r="A23" s="116"/>
      <c r="B23" s="116"/>
      <c r="C23" s="116">
        <v>3</v>
      </c>
      <c r="D23" s="3" t="s">
        <v>1112</v>
      </c>
      <c r="E23" s="234"/>
      <c r="F23" s="234"/>
      <c r="G23" s="233" t="s">
        <v>1113</v>
      </c>
      <c r="H23" s="233"/>
      <c r="I23" s="233"/>
      <c r="J23" s="233"/>
      <c r="K23" s="234"/>
      <c r="L23" s="208"/>
      <c r="M23" s="181">
        <v>43773</v>
      </c>
      <c r="N23" s="181">
        <v>43800</v>
      </c>
      <c r="O23" s="184"/>
      <c r="P23" s="183">
        <v>20</v>
      </c>
      <c r="Q23" s="183">
        <v>20</v>
      </c>
      <c r="R23" s="184">
        <v>20</v>
      </c>
      <c r="S23" s="184">
        <v>20</v>
      </c>
      <c r="T23" s="181"/>
      <c r="U23" s="181"/>
      <c r="V23" s="185"/>
      <c r="W23" s="186">
        <v>0</v>
      </c>
      <c r="X23" s="187">
        <v>1</v>
      </c>
      <c r="Y23" s="215" t="s">
        <v>1087</v>
      </c>
      <c r="Z23" s="188"/>
      <c r="AA23" s="97">
        <v>1</v>
      </c>
      <c r="AB23" s="189">
        <v>0</v>
      </c>
      <c r="AC23" s="123"/>
      <c r="AD23" s="4"/>
      <c r="AE23" s="4"/>
      <c r="AF23" s="4"/>
      <c r="AG23" s="4"/>
      <c r="AH23" s="4"/>
      <c r="AI23" s="4"/>
      <c r="AJ23" s="4"/>
      <c r="AK23" s="4"/>
      <c r="AL23" s="4" t="str">
        <f>" " &amp; TEXT(AB23,"#0.00%") &amp; " "</f>
        <v xml:space="preserve"> 0.00% </v>
      </c>
      <c r="AM23" s="4"/>
      <c r="AN23" s="4"/>
      <c r="AO23" s="4"/>
      <c r="AP23" s="4" t="str">
        <f>" " &amp; "main 화면 구현" &amp; "(공애리)" &amp; " " &amp; IF(M23="","",TEXT(M23,"M/D-")) &amp; IF(N23="","",TEXT(N23,"M/D")) &amp; " "</f>
        <v xml:space="preserve"> main 화면 구현(공애리) 11/4-12/1 </v>
      </c>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row>
    <row r="24" spans="1:140" ht="13.2" outlineLevel="2">
      <c r="A24" s="116"/>
      <c r="B24" s="116"/>
      <c r="C24" s="116">
        <v>3</v>
      </c>
      <c r="D24" s="3" t="s">
        <v>1121</v>
      </c>
      <c r="E24" s="234"/>
      <c r="F24" s="234"/>
      <c r="G24" s="233" t="s">
        <v>1114</v>
      </c>
      <c r="H24" s="233"/>
      <c r="I24" s="233"/>
      <c r="J24" s="233"/>
      <c r="K24" s="234"/>
      <c r="L24" s="208"/>
      <c r="M24" s="181">
        <v>43773</v>
      </c>
      <c r="N24" s="181">
        <v>43800</v>
      </c>
      <c r="O24" s="184"/>
      <c r="P24" s="183">
        <v>20</v>
      </c>
      <c r="Q24" s="183">
        <v>20</v>
      </c>
      <c r="R24" s="184">
        <v>20</v>
      </c>
      <c r="S24" s="184">
        <v>20</v>
      </c>
      <c r="T24" s="181"/>
      <c r="U24" s="181"/>
      <c r="V24" s="185"/>
      <c r="W24" s="186">
        <v>0</v>
      </c>
      <c r="X24" s="187">
        <v>1</v>
      </c>
      <c r="Y24" s="215" t="s">
        <v>1115</v>
      </c>
      <c r="Z24" s="267" t="s">
        <v>1118</v>
      </c>
      <c r="AA24" s="97">
        <v>1</v>
      </c>
      <c r="AB24" s="189">
        <v>0</v>
      </c>
      <c r="AC24" s="123"/>
      <c r="AD24" s="4"/>
      <c r="AE24" s="4"/>
      <c r="AF24" s="4"/>
      <c r="AG24" s="4"/>
      <c r="AH24" s="4"/>
      <c r="AI24" s="4"/>
      <c r="AJ24" s="4"/>
      <c r="AK24" s="4"/>
      <c r="AL24" s="4" t="str">
        <f>" " &amp; TEXT(AB24,"#0.00%") &amp; " "</f>
        <v xml:space="preserve"> 0.00% </v>
      </c>
      <c r="AM24" s="4"/>
      <c r="AN24" s="4"/>
      <c r="AO24" s="4"/>
      <c r="AP24" s="4" t="str">
        <f>" " &amp; "login 화면 구현" &amp; "(공애리, 백지원)" &amp; " " &amp; IF(M24="","",TEXT(M24,"M/D-")) &amp; IF(N24="","",TEXT(N24,"M/D")) &amp; " "</f>
        <v xml:space="preserve"> login 화면 구현(공애리, 백지원) 11/4-12/1 </v>
      </c>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row>
    <row r="25" spans="1:140" ht="13.2" outlineLevel="2">
      <c r="A25" s="116"/>
      <c r="B25" s="116"/>
      <c r="C25" s="116">
        <v>3</v>
      </c>
      <c r="D25" s="3" t="s">
        <v>1122</v>
      </c>
      <c r="E25" s="234"/>
      <c r="F25" s="234"/>
      <c r="G25" s="233" t="s">
        <v>1116</v>
      </c>
      <c r="H25" s="233"/>
      <c r="I25" s="233"/>
      <c r="J25" s="233"/>
      <c r="K25" s="234"/>
      <c r="L25" s="208"/>
      <c r="M25" s="181">
        <v>43773</v>
      </c>
      <c r="N25" s="181">
        <v>43800</v>
      </c>
      <c r="O25" s="184"/>
      <c r="P25" s="183">
        <v>20</v>
      </c>
      <c r="Q25" s="183">
        <v>20</v>
      </c>
      <c r="R25" s="184">
        <v>20</v>
      </c>
      <c r="S25" s="184">
        <v>20</v>
      </c>
      <c r="T25" s="181"/>
      <c r="U25" s="181"/>
      <c r="V25" s="185"/>
      <c r="W25" s="186">
        <v>0</v>
      </c>
      <c r="X25" s="187">
        <v>1</v>
      </c>
      <c r="Y25" s="215" t="s">
        <v>1085</v>
      </c>
      <c r="Z25" s="267" t="s">
        <v>1119</v>
      </c>
      <c r="AA25" s="97">
        <v>1</v>
      </c>
      <c r="AB25" s="189">
        <v>0</v>
      </c>
      <c r="AC25" s="123"/>
      <c r="AD25" s="4"/>
      <c r="AE25" s="4"/>
      <c r="AF25" s="4"/>
      <c r="AG25" s="4"/>
      <c r="AH25" s="4"/>
      <c r="AI25" s="4"/>
      <c r="AJ25" s="4"/>
      <c r="AK25" s="4"/>
      <c r="AL25" s="4" t="str">
        <f>" " &amp; TEXT(AB25,"#0.00%") &amp; " "</f>
        <v xml:space="preserve"> 0.00% </v>
      </c>
      <c r="AM25" s="4"/>
      <c r="AN25" s="4"/>
      <c r="AO25" s="4"/>
      <c r="AP25" s="4" t="str">
        <f>" " &amp; "DB 연동" &amp; "(강민주)" &amp; " " &amp; IF(M25="","",TEXT(M25,"M/D-")) &amp; IF(N25="","",TEXT(N25,"M/D")) &amp; " "</f>
        <v xml:space="preserve"> DB 연동(강민주) 11/4-12/1 </v>
      </c>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row>
    <row r="26" spans="1:140" ht="13.2" outlineLevel="2">
      <c r="A26" s="116"/>
      <c r="B26" s="116"/>
      <c r="C26" s="116">
        <v>3</v>
      </c>
      <c r="D26" s="3" t="s">
        <v>1123</v>
      </c>
      <c r="E26" s="234"/>
      <c r="F26" s="234"/>
      <c r="G26" s="233" t="s">
        <v>1117</v>
      </c>
      <c r="H26" s="233"/>
      <c r="I26" s="233"/>
      <c r="J26" s="233"/>
      <c r="K26" s="234"/>
      <c r="L26" s="208"/>
      <c r="M26" s="181">
        <v>43773</v>
      </c>
      <c r="N26" s="181">
        <v>43807</v>
      </c>
      <c r="O26" s="184"/>
      <c r="P26" s="183">
        <v>25</v>
      </c>
      <c r="Q26" s="183">
        <v>25</v>
      </c>
      <c r="R26" s="184">
        <v>25</v>
      </c>
      <c r="S26" s="184">
        <v>25</v>
      </c>
      <c r="T26" s="181"/>
      <c r="U26" s="181"/>
      <c r="V26" s="185"/>
      <c r="W26" s="186">
        <v>0</v>
      </c>
      <c r="X26" s="187">
        <v>1</v>
      </c>
      <c r="Y26" s="215" t="s">
        <v>1086</v>
      </c>
      <c r="Z26" s="267" t="s">
        <v>1120</v>
      </c>
      <c r="AA26" s="97">
        <v>1</v>
      </c>
      <c r="AB26" s="189">
        <v>0</v>
      </c>
      <c r="AC26" s="123"/>
      <c r="AD26" s="4"/>
      <c r="AE26" s="4"/>
      <c r="AF26" s="4"/>
      <c r="AG26" s="4"/>
      <c r="AH26" s="4"/>
      <c r="AI26" s="4"/>
      <c r="AJ26" s="4"/>
      <c r="AK26" s="4"/>
      <c r="AL26" s="4" t="str">
        <f>" " &amp; TEXT(AB26,"#0.00%") &amp; " "</f>
        <v xml:space="preserve"> 0.00% </v>
      </c>
      <c r="AM26" s="4"/>
      <c r="AN26" s="4"/>
      <c r="AO26" s="4"/>
      <c r="AP26" s="4"/>
      <c r="AQ26" s="4" t="str">
        <f>" " &amp; "createSession.php 구현" &amp; "(백지원)" &amp; " " &amp; IF(M26="","",TEXT(M26,"M/D-")) &amp; IF(N26="","",TEXT(N26,"M/D")) &amp; " "</f>
        <v xml:space="preserve"> createSession.php 구현(백지원) 11/4-12/8 </v>
      </c>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row>
    <row r="27" spans="1:140" ht="13.2" outlineLevel="1">
      <c r="A27" s="116"/>
      <c r="B27" s="116" t="s">
        <v>987</v>
      </c>
      <c r="C27" s="116">
        <v>2</v>
      </c>
      <c r="D27" s="3" t="s">
        <v>1101</v>
      </c>
      <c r="E27" s="234"/>
      <c r="F27" s="233" t="s">
        <v>1068</v>
      </c>
      <c r="G27" s="233"/>
      <c r="H27" s="233"/>
      <c r="I27" s="233"/>
      <c r="J27" s="233"/>
      <c r="K27" s="234"/>
      <c r="L27" s="208"/>
      <c r="M27" s="181">
        <v>43759</v>
      </c>
      <c r="N27" s="181">
        <v>43786</v>
      </c>
      <c r="O27" s="184"/>
      <c r="P27" s="183">
        <v>20</v>
      </c>
      <c r="Q27" s="183">
        <v>20</v>
      </c>
      <c r="R27" s="184">
        <v>20</v>
      </c>
      <c r="S27" s="184">
        <v>20</v>
      </c>
      <c r="T27" s="181"/>
      <c r="U27" s="181"/>
      <c r="V27" s="185">
        <v>0</v>
      </c>
      <c r="W27" s="186">
        <v>0</v>
      </c>
      <c r="X27" s="187"/>
      <c r="Y27" s="182"/>
      <c r="Z27" s="188"/>
      <c r="AA27" s="97">
        <v>1</v>
      </c>
      <c r="AB27" s="189">
        <v>0</v>
      </c>
      <c r="AC27" s="123"/>
      <c r="AD27" s="4"/>
      <c r="AE27" s="4"/>
      <c r="AF27" s="4"/>
      <c r="AG27" s="4"/>
      <c r="AH27" s="4"/>
      <c r="AI27" s="4"/>
      <c r="AJ27" s="4" t="str">
        <f>" " &amp; TEXT(AB27,"#0.00%") &amp; " "</f>
        <v xml:space="preserve"> 0.00% </v>
      </c>
      <c r="AK27" s="4"/>
      <c r="AL27" s="4"/>
      <c r="AM27" s="4"/>
      <c r="AN27" s="4" t="str">
        <f>" " &amp; "환자(서브 프로젝트 2)" &amp; " " &amp; IF(M27="","",TEXT(M27,"M/D-")) &amp; IF(N27="","",TEXT(N27,"M/D")) &amp; " "</f>
        <v xml:space="preserve"> 환자(서브 프로젝트 2) 10/21-11/17 </v>
      </c>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row>
    <row r="28" spans="1:140" ht="13.2" outlineLevel="2">
      <c r="A28" s="116"/>
      <c r="B28" s="116"/>
      <c r="C28" s="116">
        <v>3</v>
      </c>
      <c r="D28" s="3" t="s">
        <v>1102</v>
      </c>
      <c r="E28" s="234"/>
      <c r="F28" s="233"/>
      <c r="G28" s="233" t="s">
        <v>1073</v>
      </c>
      <c r="H28" s="233"/>
      <c r="I28" s="233"/>
      <c r="J28" s="233"/>
      <c r="K28" s="234"/>
      <c r="L28" s="208"/>
      <c r="M28" s="181">
        <v>43759</v>
      </c>
      <c r="N28" s="181">
        <v>43772</v>
      </c>
      <c r="O28" s="184"/>
      <c r="P28" s="183">
        <v>10</v>
      </c>
      <c r="Q28" s="183">
        <v>10</v>
      </c>
      <c r="R28" s="184">
        <v>10</v>
      </c>
      <c r="S28" s="184">
        <v>10</v>
      </c>
      <c r="T28" s="181"/>
      <c r="U28" s="181"/>
      <c r="V28" s="185"/>
      <c r="W28" s="186">
        <v>0</v>
      </c>
      <c r="X28" s="187">
        <v>1</v>
      </c>
      <c r="Y28" s="215" t="s">
        <v>1085</v>
      </c>
      <c r="Z28" s="188"/>
      <c r="AA28" s="97">
        <v>1</v>
      </c>
      <c r="AB28" s="189">
        <v>0</v>
      </c>
      <c r="AC28" s="123"/>
      <c r="AD28" s="4"/>
      <c r="AE28" s="4"/>
      <c r="AF28" s="4"/>
      <c r="AG28" s="4"/>
      <c r="AH28" s="4"/>
      <c r="AI28" s="4"/>
      <c r="AJ28" s="4" t="str">
        <f>" " &amp; TEXT(AB28,"#0.00%") &amp; " " &amp; "UI 디자인" &amp; "(강민주)" &amp; " " &amp; IF(M28="","",TEXT(M28,"M/D-")) &amp; IF(N28="","",TEXT(N28,"M/D")) &amp; " "</f>
        <v xml:space="preserve"> 0.00% UI 디자인(강민주) 10/21-11/3 </v>
      </c>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row>
    <row r="29" spans="1:140" ht="13.2" outlineLevel="2">
      <c r="A29" s="116"/>
      <c r="B29" s="116"/>
      <c r="C29" s="116">
        <v>3</v>
      </c>
      <c r="D29" s="3" t="s">
        <v>1103</v>
      </c>
      <c r="E29" s="234"/>
      <c r="F29" s="234"/>
      <c r="G29" s="233" t="s">
        <v>1065</v>
      </c>
      <c r="H29" s="234"/>
      <c r="I29" s="234"/>
      <c r="J29" s="234"/>
      <c r="K29" s="234"/>
      <c r="L29" s="208"/>
      <c r="M29" s="181">
        <v>43773</v>
      </c>
      <c r="N29" s="181">
        <v>43786</v>
      </c>
      <c r="O29" s="184"/>
      <c r="P29" s="183">
        <v>10</v>
      </c>
      <c r="Q29" s="183">
        <v>10</v>
      </c>
      <c r="R29" s="184">
        <v>10</v>
      </c>
      <c r="S29" s="184">
        <v>10</v>
      </c>
      <c r="T29" s="181"/>
      <c r="U29" s="181"/>
      <c r="V29" s="185"/>
      <c r="W29" s="186">
        <v>0</v>
      </c>
      <c r="X29" s="187">
        <v>1</v>
      </c>
      <c r="Y29" s="215" t="s">
        <v>1086</v>
      </c>
      <c r="Z29" s="188"/>
      <c r="AA29" s="97">
        <v>1</v>
      </c>
      <c r="AB29" s="189">
        <v>0</v>
      </c>
      <c r="AC29" s="123"/>
      <c r="AD29" s="4"/>
      <c r="AE29" s="4"/>
      <c r="AF29" s="4"/>
      <c r="AG29" s="4"/>
      <c r="AH29" s="4"/>
      <c r="AI29" s="4"/>
      <c r="AJ29" s="4"/>
      <c r="AK29" s="4"/>
      <c r="AL29" s="4" t="str">
        <f>" " &amp; TEXT(AB29,"#0.00%") &amp; " " &amp; "프로그램 코딩" &amp; "(백지원)" &amp; " " &amp; IF(M29="","",TEXT(M29,"M/D-")) &amp; IF(N29="","",TEXT(N29,"M/D")) &amp; " "</f>
        <v xml:space="preserve"> 0.00% 프로그램 코딩(백지원) 11/4-11/17 </v>
      </c>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row>
    <row r="30" spans="1:140" ht="13.2" outlineLevel="1">
      <c r="A30" s="116"/>
      <c r="B30" s="116" t="s">
        <v>987</v>
      </c>
      <c r="C30" s="116">
        <v>2</v>
      </c>
      <c r="D30" s="3" t="s">
        <v>1104</v>
      </c>
      <c r="E30" s="234"/>
      <c r="F30" s="233" t="s">
        <v>1110</v>
      </c>
      <c r="G30" s="233"/>
      <c r="H30" s="233"/>
      <c r="I30" s="233"/>
      <c r="J30" s="233"/>
      <c r="K30" s="234"/>
      <c r="L30" s="208"/>
      <c r="M30" s="181">
        <v>43759</v>
      </c>
      <c r="N30" s="181">
        <v>43786</v>
      </c>
      <c r="O30" s="184"/>
      <c r="P30" s="183">
        <v>20</v>
      </c>
      <c r="Q30" s="183">
        <v>20</v>
      </c>
      <c r="R30" s="184">
        <v>20</v>
      </c>
      <c r="S30" s="184">
        <v>20</v>
      </c>
      <c r="T30" s="181"/>
      <c r="U30" s="181"/>
      <c r="V30" s="185">
        <v>0</v>
      </c>
      <c r="W30" s="186">
        <v>0</v>
      </c>
      <c r="X30" s="187"/>
      <c r="Y30" s="182"/>
      <c r="Z30" s="188"/>
      <c r="AA30" s="97">
        <v>1</v>
      </c>
      <c r="AB30" s="189">
        <v>0</v>
      </c>
      <c r="AC30" s="123"/>
      <c r="AD30" s="4"/>
      <c r="AE30" s="4"/>
      <c r="AF30" s="4"/>
      <c r="AG30" s="4"/>
      <c r="AH30" s="4"/>
      <c r="AI30" s="4"/>
      <c r="AJ30" s="4" t="str">
        <f>" " &amp; TEXT(AB30,"#0.00%") &amp; " "</f>
        <v xml:space="preserve"> 0.00% </v>
      </c>
      <c r="AK30" s="4"/>
      <c r="AL30" s="4"/>
      <c r="AM30" s="4"/>
      <c r="AN30" s="4" t="str">
        <f>" " &amp; "의사(서브 프로젝트 3)" &amp; " " &amp; IF(M30="","",TEXT(M30,"M/D-")) &amp; IF(N30="","",TEXT(N30,"M/D")) &amp; " "</f>
        <v xml:space="preserve"> 의사(서브 프로젝트 3) 10/21-11/17 </v>
      </c>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row>
    <row r="31" spans="1:140" ht="13.2" outlineLevel="2">
      <c r="A31" s="116"/>
      <c r="B31" s="116"/>
      <c r="C31" s="116">
        <v>3</v>
      </c>
      <c r="D31" s="3" t="s">
        <v>1105</v>
      </c>
      <c r="E31" s="234"/>
      <c r="F31" s="233"/>
      <c r="G31" s="233" t="s">
        <v>1073</v>
      </c>
      <c r="H31" s="233"/>
      <c r="I31" s="233"/>
      <c r="J31" s="233"/>
      <c r="K31" s="234"/>
      <c r="L31" s="208"/>
      <c r="M31" s="181">
        <v>43759</v>
      </c>
      <c r="N31" s="181">
        <v>43772</v>
      </c>
      <c r="O31" s="184"/>
      <c r="P31" s="183">
        <v>10</v>
      </c>
      <c r="Q31" s="183">
        <v>10</v>
      </c>
      <c r="R31" s="184">
        <v>10</v>
      </c>
      <c r="S31" s="184">
        <v>10</v>
      </c>
      <c r="T31" s="181"/>
      <c r="U31" s="181"/>
      <c r="V31" s="185"/>
      <c r="W31" s="186">
        <v>0</v>
      </c>
      <c r="X31" s="187">
        <v>1</v>
      </c>
      <c r="Y31" s="231" t="s">
        <v>1087</v>
      </c>
      <c r="Z31" s="188"/>
      <c r="AA31" s="97">
        <v>1</v>
      </c>
      <c r="AB31" s="189">
        <v>0</v>
      </c>
      <c r="AC31" s="123"/>
      <c r="AD31" s="4"/>
      <c r="AE31" s="4"/>
      <c r="AF31" s="4"/>
      <c r="AG31" s="4"/>
      <c r="AH31" s="4"/>
      <c r="AI31" s="4"/>
      <c r="AJ31" s="4" t="str">
        <f>" " &amp; TEXT(AB31,"#0.00%") &amp; " " &amp; "UI 디자인" &amp; "(공애리)" &amp; " " &amp; IF(M31="","",TEXT(M31,"M/D-")) &amp; IF(N31="","",TEXT(N31,"M/D")) &amp; " "</f>
        <v xml:space="preserve"> 0.00% UI 디자인(공애리) 10/21-11/3 </v>
      </c>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row>
    <row r="32" spans="1:140" ht="13.2" outlineLevel="2">
      <c r="A32" s="116"/>
      <c r="B32" s="116"/>
      <c r="C32" s="116">
        <v>3</v>
      </c>
      <c r="D32" s="3" t="s">
        <v>1106</v>
      </c>
      <c r="E32" s="234"/>
      <c r="F32" s="234"/>
      <c r="G32" s="233" t="s">
        <v>1065</v>
      </c>
      <c r="H32" s="233"/>
      <c r="I32" s="233"/>
      <c r="J32" s="233"/>
      <c r="K32" s="234"/>
      <c r="L32" s="208"/>
      <c r="M32" s="181">
        <v>43773</v>
      </c>
      <c r="N32" s="181">
        <v>43786</v>
      </c>
      <c r="O32" s="184"/>
      <c r="P32" s="183">
        <v>10</v>
      </c>
      <c r="Q32" s="183">
        <v>10</v>
      </c>
      <c r="R32" s="184">
        <v>10</v>
      </c>
      <c r="S32" s="184">
        <v>10</v>
      </c>
      <c r="T32" s="181"/>
      <c r="U32" s="181"/>
      <c r="V32" s="185"/>
      <c r="W32" s="186">
        <v>0</v>
      </c>
      <c r="X32" s="187">
        <v>1</v>
      </c>
      <c r="Y32" s="231" t="s">
        <v>1087</v>
      </c>
      <c r="Z32" s="188"/>
      <c r="AA32" s="97">
        <v>1</v>
      </c>
      <c r="AB32" s="189">
        <v>0</v>
      </c>
      <c r="AC32" s="123"/>
      <c r="AD32" s="4"/>
      <c r="AE32" s="4"/>
      <c r="AF32" s="4"/>
      <c r="AG32" s="4"/>
      <c r="AH32" s="4"/>
      <c r="AI32" s="4"/>
      <c r="AJ32" s="4"/>
      <c r="AK32" s="4"/>
      <c r="AL32" s="4" t="str">
        <f>" " &amp; TEXT(AB32,"#0.00%") &amp; " " &amp; "프로그램 코딩" &amp; "(공애리)" &amp; " " &amp; IF(M32="","",TEXT(M32,"M/D-")) &amp; IF(N32="","",TEXT(N32,"M/D")) &amp; " "</f>
        <v xml:space="preserve"> 0.00% 프로그램 코딩(공애리) 11/4-11/17 </v>
      </c>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row>
    <row r="33" spans="1:140" ht="13.2" outlineLevel="1">
      <c r="A33" s="116"/>
      <c r="B33" s="116"/>
      <c r="C33" s="116">
        <v>2</v>
      </c>
      <c r="D33" s="220" t="s">
        <v>1107</v>
      </c>
      <c r="E33" s="221"/>
      <c r="F33" s="235" t="s">
        <v>1070</v>
      </c>
      <c r="G33" s="235"/>
      <c r="H33" s="235"/>
      <c r="I33" s="235"/>
      <c r="J33" s="235"/>
      <c r="K33" s="234"/>
      <c r="L33" s="222"/>
      <c r="M33" s="223">
        <v>43787</v>
      </c>
      <c r="N33" s="223">
        <v>43793</v>
      </c>
      <c r="O33" s="224"/>
      <c r="P33" s="225">
        <v>5</v>
      </c>
      <c r="Q33" s="225">
        <v>5</v>
      </c>
      <c r="R33" s="224">
        <v>5</v>
      </c>
      <c r="S33" s="224">
        <v>5</v>
      </c>
      <c r="T33" s="223"/>
      <c r="U33" s="223"/>
      <c r="V33" s="226"/>
      <c r="W33" s="227">
        <v>0</v>
      </c>
      <c r="X33" s="228">
        <v>1</v>
      </c>
      <c r="Y33" s="229"/>
      <c r="Z33" s="230"/>
      <c r="AA33" s="218">
        <v>1</v>
      </c>
      <c r="AB33" s="219">
        <v>0</v>
      </c>
      <c r="AC33" s="123"/>
      <c r="AD33" s="4"/>
      <c r="AE33" s="4"/>
      <c r="AF33" s="4"/>
      <c r="AG33" s="4"/>
      <c r="AH33" s="4"/>
      <c r="AI33" s="4"/>
      <c r="AJ33" s="4"/>
      <c r="AK33" s="4"/>
      <c r="AL33" s="4"/>
      <c r="AM33" s="4"/>
      <c r="AN33" s="4" t="str">
        <f>" " &amp; TEXT(AB33,"#0.00%") &amp; " " &amp; "서브 프로젝트 합치기" &amp; " " &amp; IF(M33="","",TEXT(M33,"M/D-")) &amp; IF(N33="","",TEXT(N33,"M/D")) &amp; " "</f>
        <v xml:space="preserve"> 0.00% 서브 프로젝트 합치기 11/18-11/24 </v>
      </c>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row>
    <row r="34" spans="1:140" ht="13.2">
      <c r="A34" s="116"/>
      <c r="B34" s="116" t="s">
        <v>987</v>
      </c>
      <c r="C34" s="116">
        <v>1</v>
      </c>
      <c r="D34" s="3" t="s">
        <v>1108</v>
      </c>
      <c r="E34" s="233" t="s">
        <v>1066</v>
      </c>
      <c r="F34" s="234"/>
      <c r="G34" s="234"/>
      <c r="H34" s="234"/>
      <c r="I34" s="234"/>
      <c r="J34" s="234"/>
      <c r="K34" s="234"/>
      <c r="L34" s="208"/>
      <c r="M34" s="181">
        <v>43794</v>
      </c>
      <c r="N34" s="181">
        <v>43816</v>
      </c>
      <c r="O34" s="184"/>
      <c r="P34" s="183">
        <v>17</v>
      </c>
      <c r="Q34" s="183">
        <v>15</v>
      </c>
      <c r="R34" s="184">
        <v>17</v>
      </c>
      <c r="S34" s="184">
        <v>15</v>
      </c>
      <c r="T34" s="181"/>
      <c r="U34" s="181"/>
      <c r="V34" s="185">
        <v>0</v>
      </c>
      <c r="W34" s="186">
        <v>0</v>
      </c>
      <c r="X34" s="187"/>
      <c r="Y34" s="182"/>
      <c r="Z34" s="188"/>
      <c r="AA34" s="97">
        <v>0.88235294117647056</v>
      </c>
      <c r="AB34" s="189">
        <v>0</v>
      </c>
      <c r="AC34" s="123"/>
      <c r="AD34" s="4"/>
      <c r="AE34" s="4"/>
      <c r="AF34" s="4"/>
      <c r="AG34" s="4"/>
      <c r="AH34" s="4"/>
      <c r="AI34" s="4"/>
      <c r="AJ34" s="4"/>
      <c r="AK34" s="4"/>
      <c r="AL34" s="4"/>
      <c r="AM34" s="4"/>
      <c r="AN34" s="4"/>
      <c r="AO34" s="4" t="str">
        <f>" " &amp; TEXT(AB34,"#0.00%") &amp; " "</f>
        <v xml:space="preserve"> 0.00% </v>
      </c>
      <c r="AP34" s="4"/>
      <c r="AQ34" s="4"/>
      <c r="AR34" s="4" t="str">
        <f>"   " &amp; "테스트" &amp; " " &amp; IF(M34="","",TEXT(M34,"M/D-")) &amp; IF(N34="","",TEXT(N34,"M/D")) &amp; " "</f>
        <v xml:space="preserve">   테스트 11/25-12/17 </v>
      </c>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row>
    <row r="35" spans="1:140" ht="13.2" outlineLevel="1">
      <c r="A35" s="116"/>
      <c r="B35" s="116"/>
      <c r="C35" s="116">
        <v>2</v>
      </c>
      <c r="D35" s="3" t="s">
        <v>1109</v>
      </c>
      <c r="E35" s="234"/>
      <c r="F35" s="233" t="s">
        <v>1071</v>
      </c>
      <c r="G35" s="234"/>
      <c r="H35" s="234"/>
      <c r="I35" s="234"/>
      <c r="J35" s="234"/>
      <c r="K35" s="234"/>
      <c r="L35" s="208"/>
      <c r="M35" s="181">
        <v>43794</v>
      </c>
      <c r="N35" s="181">
        <v>43816</v>
      </c>
      <c r="O35" s="184"/>
      <c r="P35" s="183">
        <v>17</v>
      </c>
      <c r="Q35" s="183">
        <v>15</v>
      </c>
      <c r="R35" s="184">
        <v>17</v>
      </c>
      <c r="S35" s="184">
        <v>15</v>
      </c>
      <c r="T35" s="181"/>
      <c r="U35" s="181"/>
      <c r="V35" s="185"/>
      <c r="W35" s="186">
        <v>0</v>
      </c>
      <c r="X35" s="187">
        <v>1</v>
      </c>
      <c r="Y35" s="231" t="s">
        <v>1075</v>
      </c>
      <c r="Z35" s="188"/>
      <c r="AA35" s="97">
        <v>0.88235294117647056</v>
      </c>
      <c r="AB35" s="189">
        <v>0</v>
      </c>
      <c r="AC35" s="123"/>
      <c r="AD35" s="4"/>
      <c r="AE35" s="4"/>
      <c r="AF35" s="4"/>
      <c r="AG35" s="4"/>
      <c r="AH35" s="4"/>
      <c r="AI35" s="4"/>
      <c r="AJ35" s="4"/>
      <c r="AK35" s="4"/>
      <c r="AL35" s="4"/>
      <c r="AM35" s="4"/>
      <c r="AN35" s="4"/>
      <c r="AO35" s="4" t="str">
        <f>" " &amp; TEXT(AB35,"#0.00%") &amp; " "</f>
        <v xml:space="preserve"> 0.00% </v>
      </c>
      <c r="AP35" s="4"/>
      <c r="AQ35" s="4"/>
      <c r="AR35" s="4" t="str">
        <f>"   " &amp; "통합 테스트 실시" &amp; "(팀원 전체)" &amp; " " &amp; IF(M35="","",TEXT(M35,"M/D-")) &amp; IF(N35="","",TEXT(N35,"M/D")) &amp; " "</f>
        <v xml:space="preserve">   통합 테스트 실시(팀원 전체) 11/25-12/17 </v>
      </c>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row>
    <row r="36" spans="1:140">
      <c r="A36" s="190"/>
      <c r="B36" s="190"/>
      <c r="C36" s="190"/>
      <c r="D36" s="191"/>
      <c r="E36" s="192"/>
      <c r="F36" s="192"/>
      <c r="G36" s="192"/>
      <c r="H36" s="192"/>
      <c r="I36" s="192"/>
      <c r="J36" s="192"/>
      <c r="K36" s="192"/>
      <c r="L36" s="214"/>
      <c r="M36" s="193"/>
      <c r="N36" s="193"/>
      <c r="O36" s="196"/>
      <c r="P36" s="195"/>
      <c r="Q36" s="195"/>
      <c r="R36" s="196"/>
      <c r="S36" s="196"/>
      <c r="T36" s="193"/>
      <c r="U36" s="193"/>
      <c r="V36" s="197"/>
      <c r="W36" s="198"/>
      <c r="X36" s="199"/>
      <c r="Y36" s="194"/>
      <c r="Z36" s="200"/>
      <c r="AA36" s="201"/>
      <c r="AB36" s="202"/>
      <c r="AC36" s="178"/>
      <c r="AD36" s="178"/>
      <c r="AE36" s="178"/>
      <c r="AF36" s="178"/>
      <c r="AG36" s="178"/>
      <c r="AH36" s="178"/>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c r="BK36" s="178"/>
      <c r="BL36" s="178"/>
      <c r="BM36" s="178"/>
      <c r="BN36" s="178"/>
      <c r="BO36" s="178"/>
      <c r="BP36" s="178"/>
      <c r="BQ36" s="178"/>
      <c r="BR36" s="178"/>
      <c r="BS36" s="178"/>
      <c r="BT36" s="178"/>
      <c r="BU36" s="178"/>
      <c r="BV36" s="178"/>
      <c r="BW36" s="178"/>
      <c r="BX36" s="178"/>
      <c r="BY36" s="178"/>
      <c r="BZ36" s="178"/>
      <c r="CA36" s="178"/>
      <c r="CB36" s="178"/>
      <c r="CC36" s="178"/>
      <c r="CD36" s="178"/>
      <c r="CE36" s="178"/>
      <c r="CF36" s="178"/>
      <c r="CG36" s="178"/>
      <c r="CH36" s="178"/>
      <c r="CI36" s="178"/>
      <c r="CJ36" s="178"/>
      <c r="CK36" s="178"/>
      <c r="CL36" s="178"/>
      <c r="CM36" s="178"/>
      <c r="CN36" s="178"/>
      <c r="CO36" s="178"/>
      <c r="CP36" s="178"/>
      <c r="CQ36" s="178"/>
      <c r="CR36" s="178"/>
      <c r="CS36" s="178"/>
      <c r="CT36" s="178"/>
      <c r="CU36" s="178"/>
      <c r="CV36" s="178"/>
      <c r="CW36" s="178"/>
      <c r="CX36" s="178"/>
      <c r="CY36" s="178"/>
      <c r="CZ36" s="178"/>
      <c r="DA36" s="178"/>
      <c r="DB36" s="178"/>
      <c r="DC36" s="178"/>
      <c r="DD36" s="178"/>
      <c r="DE36" s="178"/>
      <c r="DF36" s="178"/>
      <c r="DG36" s="178"/>
      <c r="DH36" s="178"/>
      <c r="DI36" s="178"/>
      <c r="DJ36" s="178"/>
      <c r="DK36" s="178"/>
      <c r="DL36" s="178"/>
      <c r="DM36" s="178"/>
      <c r="DN36" s="178"/>
      <c r="DO36" s="178"/>
      <c r="DP36" s="178"/>
      <c r="DQ36" s="178"/>
      <c r="DR36" s="178"/>
      <c r="DS36" s="178"/>
      <c r="DT36" s="178"/>
      <c r="DU36" s="178"/>
      <c r="DV36" s="178"/>
      <c r="DW36" s="178"/>
      <c r="DX36" s="178"/>
      <c r="DY36" s="178"/>
      <c r="DZ36" s="178"/>
      <c r="EA36" s="178"/>
      <c r="EB36" s="178"/>
      <c r="EC36" s="178"/>
      <c r="ED36" s="178"/>
      <c r="EE36" s="178"/>
      <c r="EF36" s="178"/>
      <c r="EG36" s="178"/>
      <c r="EH36" s="178"/>
      <c r="EI36" s="178"/>
      <c r="EJ36" s="178"/>
    </row>
    <row r="37" spans="1:140">
      <c r="A37" s="116"/>
      <c r="B37" s="116"/>
      <c r="C37" s="116"/>
      <c r="D37" s="3"/>
      <c r="E37" s="180"/>
      <c r="F37" s="180"/>
      <c r="G37" s="180"/>
      <c r="H37" s="180"/>
      <c r="I37" s="180"/>
      <c r="J37" s="180"/>
      <c r="K37" s="180"/>
      <c r="L37" s="208"/>
      <c r="M37" s="181"/>
      <c r="N37" s="181"/>
      <c r="O37" s="184"/>
      <c r="P37" s="183"/>
      <c r="Q37" s="183"/>
      <c r="R37" s="184"/>
      <c r="S37" s="184"/>
      <c r="T37" s="181"/>
      <c r="U37" s="181"/>
      <c r="V37" s="185"/>
      <c r="W37" s="186"/>
      <c r="X37" s="187"/>
      <c r="Y37" s="182"/>
      <c r="Z37" s="188"/>
      <c r="AA37" s="97"/>
      <c r="AB37" s="189"/>
    </row>
    <row r="38" spans="1:140">
      <c r="A38" s="116"/>
      <c r="B38" s="116"/>
      <c r="C38" s="116"/>
      <c r="D38" s="3"/>
      <c r="E38" s="180"/>
      <c r="F38" s="180"/>
      <c r="G38" s="180"/>
      <c r="H38" s="180"/>
      <c r="I38" s="180"/>
      <c r="J38" s="180"/>
      <c r="K38" s="180"/>
      <c r="L38" s="208"/>
      <c r="M38" s="181"/>
      <c r="N38" s="181"/>
      <c r="O38" s="184"/>
      <c r="P38" s="183"/>
      <c r="Q38" s="183"/>
      <c r="R38" s="184"/>
      <c r="S38" s="184"/>
      <c r="T38" s="181"/>
      <c r="U38" s="181"/>
      <c r="V38" s="185"/>
      <c r="W38" s="186"/>
      <c r="X38" s="187"/>
      <c r="Y38" s="182"/>
      <c r="Z38" s="188"/>
      <c r="AA38" s="97"/>
      <c r="AB38" s="189"/>
    </row>
    <row r="39" spans="1:140">
      <c r="A39" s="116"/>
      <c r="B39" s="116"/>
      <c r="C39" s="116"/>
      <c r="D39" s="3"/>
      <c r="E39" s="180"/>
      <c r="F39" s="180"/>
      <c r="G39" s="180"/>
      <c r="H39" s="180"/>
      <c r="I39" s="180"/>
      <c r="J39" s="180"/>
      <c r="K39" s="180"/>
      <c r="L39" s="208"/>
      <c r="M39" s="181"/>
      <c r="N39" s="181"/>
      <c r="O39" s="184"/>
      <c r="P39" s="183"/>
      <c r="Q39" s="183"/>
      <c r="R39" s="184"/>
      <c r="S39" s="184"/>
      <c r="T39" s="181"/>
      <c r="U39" s="181"/>
      <c r="V39" s="185"/>
      <c r="W39" s="186"/>
      <c r="X39" s="187"/>
      <c r="Y39" s="182"/>
      <c r="Z39" s="188"/>
      <c r="AA39" s="97"/>
      <c r="AB39" s="189"/>
    </row>
    <row r="40" spans="1:140">
      <c r="A40" s="116"/>
      <c r="B40" s="116"/>
      <c r="C40" s="116"/>
      <c r="D40" s="3"/>
      <c r="E40" s="180"/>
      <c r="F40" s="180"/>
      <c r="G40" s="180"/>
      <c r="H40" s="180"/>
      <c r="I40" s="180"/>
      <c r="J40" s="180"/>
      <c r="K40" s="180"/>
      <c r="L40" s="208"/>
      <c r="M40" s="181"/>
      <c r="N40" s="181"/>
      <c r="O40" s="184"/>
      <c r="P40" s="183"/>
      <c r="Q40" s="183"/>
      <c r="R40" s="184"/>
      <c r="S40" s="184"/>
      <c r="T40" s="181"/>
      <c r="U40" s="181"/>
      <c r="V40" s="185"/>
      <c r="W40" s="186"/>
      <c r="X40" s="187"/>
      <c r="Y40" s="182"/>
      <c r="Z40" s="188"/>
      <c r="AA40" s="97"/>
      <c r="AB40" s="189"/>
    </row>
    <row r="41" spans="1:140">
      <c r="A41" s="116"/>
      <c r="B41" s="116"/>
      <c r="C41" s="116"/>
      <c r="D41" s="3"/>
      <c r="E41" s="180"/>
      <c r="F41" s="180"/>
      <c r="G41" s="180"/>
      <c r="H41" s="180"/>
      <c r="I41" s="180"/>
      <c r="J41" s="180"/>
      <c r="K41" s="180"/>
      <c r="L41" s="208"/>
      <c r="M41" s="181"/>
      <c r="N41" s="181"/>
      <c r="O41" s="184"/>
      <c r="P41" s="183"/>
      <c r="Q41" s="183"/>
      <c r="R41" s="184"/>
      <c r="S41" s="184"/>
      <c r="T41" s="181"/>
      <c r="U41" s="181"/>
      <c r="V41" s="185"/>
      <c r="W41" s="186"/>
      <c r="X41" s="187"/>
      <c r="Y41" s="182"/>
      <c r="Z41" s="188"/>
      <c r="AA41" s="97"/>
      <c r="AB41" s="189"/>
    </row>
    <row r="42" spans="1:140">
      <c r="A42" s="116"/>
      <c r="B42" s="116"/>
      <c r="C42" s="116"/>
      <c r="D42" s="3"/>
      <c r="E42" s="180"/>
      <c r="F42" s="180"/>
      <c r="G42" s="180"/>
      <c r="H42" s="180"/>
      <c r="I42" s="180"/>
      <c r="J42" s="180"/>
      <c r="K42" s="180"/>
      <c r="L42" s="208"/>
      <c r="M42" s="181"/>
      <c r="N42" s="181"/>
      <c r="O42" s="184"/>
      <c r="P42" s="183"/>
      <c r="Q42" s="183"/>
      <c r="R42" s="184"/>
      <c r="S42" s="184"/>
      <c r="T42" s="181"/>
      <c r="U42" s="181"/>
      <c r="V42" s="185"/>
      <c r="W42" s="186"/>
      <c r="X42" s="187"/>
      <c r="Y42" s="182"/>
      <c r="Z42" s="188"/>
      <c r="AA42" s="97"/>
      <c r="AB42" s="189"/>
    </row>
    <row r="43" spans="1:140">
      <c r="A43" s="116"/>
      <c r="B43" s="116"/>
      <c r="C43" s="116"/>
      <c r="D43" s="3"/>
      <c r="E43" s="180"/>
      <c r="F43" s="180"/>
      <c r="G43" s="180"/>
      <c r="H43" s="180"/>
      <c r="I43" s="180"/>
      <c r="J43" s="180"/>
      <c r="K43" s="180"/>
      <c r="L43" s="208"/>
      <c r="M43" s="181"/>
      <c r="N43" s="181"/>
      <c r="O43" s="184"/>
      <c r="P43" s="183"/>
      <c r="Q43" s="183"/>
      <c r="R43" s="184"/>
      <c r="S43" s="184"/>
      <c r="T43" s="181"/>
      <c r="U43" s="181"/>
      <c r="V43" s="185"/>
      <c r="W43" s="186"/>
      <c r="X43" s="187"/>
      <c r="Y43" s="182"/>
      <c r="Z43" s="188"/>
      <c r="AA43" s="97"/>
      <c r="AB43" s="189"/>
    </row>
    <row r="44" spans="1:140">
      <c r="A44" s="116"/>
      <c r="B44" s="116"/>
      <c r="C44" s="116"/>
      <c r="D44" s="3"/>
      <c r="E44" s="180"/>
      <c r="F44" s="180"/>
      <c r="G44" s="180"/>
      <c r="H44" s="180"/>
      <c r="I44" s="180"/>
      <c r="J44" s="180"/>
      <c r="K44" s="180"/>
      <c r="L44" s="208"/>
      <c r="M44" s="181"/>
      <c r="N44" s="181"/>
      <c r="O44" s="184"/>
      <c r="P44" s="183"/>
      <c r="Q44" s="183"/>
      <c r="R44" s="184"/>
      <c r="S44" s="184"/>
      <c r="T44" s="181"/>
      <c r="U44" s="181"/>
      <c r="V44" s="185"/>
      <c r="W44" s="186"/>
      <c r="X44" s="187"/>
      <c r="Y44" s="182"/>
      <c r="Z44" s="188"/>
      <c r="AA44" s="97"/>
      <c r="AB44" s="189"/>
    </row>
    <row r="45" spans="1:140">
      <c r="A45" s="116"/>
      <c r="B45" s="116"/>
      <c r="C45" s="116"/>
      <c r="D45" s="3"/>
      <c r="E45" s="180"/>
      <c r="F45" s="180"/>
      <c r="G45" s="180"/>
      <c r="H45" s="180"/>
      <c r="I45" s="180"/>
      <c r="J45" s="180"/>
      <c r="K45" s="180"/>
      <c r="L45" s="208"/>
      <c r="M45" s="181"/>
      <c r="N45" s="181"/>
      <c r="O45" s="184"/>
      <c r="P45" s="183"/>
      <c r="Q45" s="183"/>
      <c r="R45" s="184"/>
      <c r="S45" s="184"/>
      <c r="T45" s="181"/>
      <c r="U45" s="181"/>
      <c r="V45" s="185"/>
      <c r="W45" s="186"/>
      <c r="X45" s="187"/>
      <c r="Y45" s="182"/>
      <c r="Z45" s="188"/>
      <c r="AA45" s="97"/>
      <c r="AB45" s="189"/>
    </row>
    <row r="46" spans="1:140">
      <c r="A46" s="116"/>
      <c r="B46" s="116"/>
      <c r="C46" s="116"/>
      <c r="D46" s="3"/>
      <c r="E46" s="180"/>
      <c r="F46" s="180"/>
      <c r="G46" s="180"/>
      <c r="H46" s="180"/>
      <c r="I46" s="180"/>
      <c r="J46" s="180"/>
      <c r="K46" s="180"/>
      <c r="L46" s="208"/>
      <c r="M46" s="181"/>
      <c r="N46" s="181"/>
      <c r="O46" s="184"/>
      <c r="P46" s="183"/>
      <c r="Q46" s="183"/>
      <c r="R46" s="184"/>
      <c r="S46" s="184"/>
      <c r="T46" s="181"/>
      <c r="U46" s="181"/>
      <c r="V46" s="185"/>
      <c r="W46" s="186"/>
      <c r="X46" s="187"/>
      <c r="Y46" s="182"/>
      <c r="Z46" s="188"/>
      <c r="AA46" s="97"/>
      <c r="AB46" s="189"/>
    </row>
    <row r="47" spans="1:140">
      <c r="A47" s="116"/>
      <c r="B47" s="116"/>
      <c r="C47" s="116"/>
      <c r="D47" s="3"/>
      <c r="E47" s="180"/>
      <c r="F47" s="180"/>
      <c r="G47" s="180"/>
      <c r="H47" s="180"/>
      <c r="I47" s="180"/>
      <c r="J47" s="180"/>
      <c r="K47" s="180"/>
      <c r="L47" s="208"/>
      <c r="M47" s="181"/>
      <c r="N47" s="181"/>
      <c r="O47" s="184"/>
      <c r="P47" s="183"/>
      <c r="Q47" s="183"/>
      <c r="R47" s="184"/>
      <c r="S47" s="184"/>
      <c r="T47" s="181"/>
      <c r="U47" s="181"/>
      <c r="V47" s="185"/>
      <c r="W47" s="186"/>
      <c r="X47" s="187"/>
      <c r="Y47" s="182"/>
      <c r="Z47" s="188"/>
      <c r="AA47" s="97"/>
      <c r="AB47" s="189"/>
    </row>
    <row r="48" spans="1:140">
      <c r="A48" s="116"/>
      <c r="B48" s="116"/>
      <c r="C48" s="116"/>
      <c r="D48" s="3"/>
      <c r="E48" s="180"/>
      <c r="F48" s="180"/>
      <c r="G48" s="180"/>
      <c r="H48" s="180"/>
      <c r="I48" s="180"/>
      <c r="J48" s="180"/>
      <c r="K48" s="180"/>
      <c r="L48" s="208"/>
      <c r="M48" s="181"/>
      <c r="N48" s="181"/>
      <c r="O48" s="184"/>
      <c r="P48" s="183"/>
      <c r="Q48" s="183"/>
      <c r="R48" s="184"/>
      <c r="S48" s="184"/>
      <c r="T48" s="181"/>
      <c r="U48" s="181"/>
      <c r="V48" s="185"/>
      <c r="W48" s="186"/>
      <c r="X48" s="187"/>
      <c r="Y48" s="182"/>
      <c r="Z48" s="188"/>
      <c r="AA48" s="97"/>
      <c r="AB48" s="189"/>
    </row>
    <row r="49" spans="1:28">
      <c r="A49" s="116"/>
      <c r="B49" s="116"/>
      <c r="C49" s="116"/>
      <c r="D49" s="3"/>
      <c r="E49" s="180"/>
      <c r="F49" s="180"/>
      <c r="G49" s="180"/>
      <c r="H49" s="180"/>
      <c r="I49" s="180"/>
      <c r="J49" s="180"/>
      <c r="K49" s="180"/>
      <c r="L49" s="208"/>
      <c r="M49" s="181"/>
      <c r="N49" s="181"/>
      <c r="O49" s="184"/>
      <c r="P49" s="183"/>
      <c r="Q49" s="183"/>
      <c r="R49" s="184"/>
      <c r="S49" s="184"/>
      <c r="T49" s="181"/>
      <c r="U49" s="181"/>
      <c r="V49" s="185"/>
      <c r="W49" s="186"/>
      <c r="X49" s="187"/>
      <c r="Y49" s="182"/>
      <c r="Z49" s="188"/>
      <c r="AA49" s="97"/>
      <c r="AB49" s="189"/>
    </row>
    <row r="50" spans="1:28">
      <c r="A50" s="116"/>
      <c r="B50" s="116"/>
      <c r="C50" s="116"/>
      <c r="D50" s="3"/>
      <c r="E50" s="180"/>
      <c r="F50" s="180"/>
      <c r="G50" s="180"/>
      <c r="H50" s="180"/>
      <c r="I50" s="180"/>
      <c r="J50" s="180"/>
      <c r="K50" s="180"/>
      <c r="L50" s="208"/>
      <c r="M50" s="181"/>
      <c r="N50" s="181"/>
      <c r="O50" s="184"/>
      <c r="P50" s="183"/>
      <c r="Q50" s="183"/>
      <c r="R50" s="184"/>
      <c r="S50" s="184"/>
      <c r="T50" s="181"/>
      <c r="U50" s="181"/>
      <c r="V50" s="185"/>
      <c r="W50" s="186"/>
      <c r="X50" s="187"/>
      <c r="Y50" s="182"/>
      <c r="Z50" s="188"/>
      <c r="AA50" s="97"/>
      <c r="AB50" s="189"/>
    </row>
    <row r="51" spans="1:28">
      <c r="A51" s="116"/>
      <c r="B51" s="116"/>
      <c r="C51" s="116"/>
      <c r="D51" s="3"/>
      <c r="E51" s="180"/>
      <c r="F51" s="180"/>
      <c r="G51" s="180"/>
      <c r="H51" s="180"/>
      <c r="I51" s="180"/>
      <c r="J51" s="180"/>
      <c r="K51" s="180"/>
      <c r="L51" s="208"/>
      <c r="M51" s="181"/>
      <c r="N51" s="181"/>
      <c r="O51" s="184"/>
      <c r="P51" s="183"/>
      <c r="Q51" s="183"/>
      <c r="R51" s="184"/>
      <c r="S51" s="184"/>
      <c r="T51" s="181"/>
      <c r="U51" s="181"/>
      <c r="V51" s="185"/>
      <c r="W51" s="186"/>
      <c r="X51" s="187"/>
      <c r="Y51" s="182"/>
      <c r="Z51" s="188"/>
      <c r="AA51" s="97"/>
      <c r="AB51" s="189"/>
    </row>
    <row r="52" spans="1:28">
      <c r="A52" s="116"/>
      <c r="B52" s="116"/>
      <c r="C52" s="116"/>
      <c r="D52" s="3"/>
      <c r="E52" s="180"/>
      <c r="F52" s="180"/>
      <c r="G52" s="180"/>
      <c r="H52" s="180"/>
      <c r="I52" s="180"/>
      <c r="J52" s="180"/>
      <c r="K52" s="180"/>
      <c r="L52" s="208"/>
      <c r="M52" s="181"/>
      <c r="N52" s="181"/>
      <c r="O52" s="184"/>
      <c r="P52" s="183"/>
      <c r="Q52" s="183"/>
      <c r="R52" s="184"/>
      <c r="S52" s="184"/>
      <c r="T52" s="181"/>
      <c r="U52" s="181"/>
      <c r="V52" s="185"/>
      <c r="W52" s="186"/>
      <c r="X52" s="187"/>
      <c r="Y52" s="182"/>
      <c r="Z52" s="188"/>
      <c r="AA52" s="97"/>
      <c r="AB52" s="189"/>
    </row>
    <row r="53" spans="1:28">
      <c r="A53" s="116"/>
      <c r="B53" s="116"/>
      <c r="C53" s="116"/>
      <c r="D53" s="3"/>
      <c r="E53" s="180"/>
      <c r="F53" s="180"/>
      <c r="G53" s="180"/>
      <c r="H53" s="180"/>
      <c r="I53" s="180"/>
      <c r="J53" s="180"/>
      <c r="K53" s="180"/>
      <c r="L53" s="208"/>
      <c r="M53" s="181"/>
      <c r="N53" s="181"/>
      <c r="O53" s="184"/>
      <c r="P53" s="183"/>
      <c r="Q53" s="183"/>
      <c r="R53" s="184"/>
      <c r="S53" s="184"/>
      <c r="T53" s="181"/>
      <c r="U53" s="181"/>
      <c r="V53" s="185"/>
      <c r="W53" s="186"/>
      <c r="X53" s="187"/>
      <c r="Y53" s="182"/>
      <c r="Z53" s="188"/>
      <c r="AA53" s="97"/>
      <c r="AB53" s="189"/>
    </row>
    <row r="54" spans="1:28">
      <c r="A54" s="116"/>
      <c r="B54" s="116"/>
      <c r="C54" s="116"/>
      <c r="D54" s="3"/>
      <c r="E54" s="180"/>
      <c r="F54" s="180"/>
      <c r="G54" s="180"/>
      <c r="H54" s="180"/>
      <c r="I54" s="180"/>
      <c r="J54" s="180"/>
      <c r="K54" s="180"/>
      <c r="L54" s="208"/>
      <c r="M54" s="181"/>
      <c r="N54" s="181"/>
      <c r="O54" s="184"/>
      <c r="P54" s="183"/>
      <c r="Q54" s="183"/>
      <c r="R54" s="184"/>
      <c r="S54" s="184"/>
      <c r="T54" s="181"/>
      <c r="U54" s="181"/>
      <c r="V54" s="185"/>
      <c r="W54" s="186"/>
      <c r="X54" s="187"/>
      <c r="Y54" s="182"/>
      <c r="Z54" s="188"/>
      <c r="AA54" s="97"/>
      <c r="AB54" s="189"/>
    </row>
    <row r="55" spans="1:28">
      <c r="A55" s="116"/>
      <c r="B55" s="116"/>
      <c r="C55" s="116"/>
      <c r="D55" s="3"/>
      <c r="E55" s="180"/>
      <c r="F55" s="180"/>
      <c r="G55" s="180"/>
      <c r="H55" s="180"/>
      <c r="I55" s="180"/>
      <c r="J55" s="180"/>
      <c r="K55" s="180"/>
      <c r="L55" s="208"/>
      <c r="M55" s="181"/>
      <c r="N55" s="181"/>
      <c r="O55" s="184"/>
      <c r="P55" s="183"/>
      <c r="Q55" s="183"/>
      <c r="R55" s="184"/>
      <c r="S55" s="184"/>
      <c r="T55" s="181"/>
      <c r="U55" s="181"/>
      <c r="V55" s="185"/>
      <c r="W55" s="186"/>
      <c r="X55" s="187"/>
      <c r="Y55" s="182"/>
      <c r="Z55" s="188"/>
      <c r="AA55" s="97"/>
      <c r="AB55" s="189"/>
    </row>
    <row r="56" spans="1:28">
      <c r="A56" s="116"/>
      <c r="B56" s="116"/>
      <c r="C56" s="116"/>
      <c r="D56" s="3"/>
      <c r="E56" s="180"/>
      <c r="F56" s="180"/>
      <c r="G56" s="180"/>
      <c r="H56" s="180"/>
      <c r="I56" s="180"/>
      <c r="J56" s="180"/>
      <c r="K56" s="180"/>
      <c r="L56" s="208"/>
      <c r="M56" s="181"/>
      <c r="N56" s="181"/>
      <c r="O56" s="184"/>
      <c r="P56" s="183"/>
      <c r="Q56" s="183"/>
      <c r="R56" s="184"/>
      <c r="S56" s="184"/>
      <c r="T56" s="181"/>
      <c r="U56" s="181"/>
      <c r="V56" s="185"/>
      <c r="W56" s="186"/>
      <c r="X56" s="187"/>
      <c r="Y56" s="182"/>
      <c r="Z56" s="188"/>
      <c r="AA56" s="97"/>
      <c r="AB56" s="189"/>
    </row>
    <row r="57" spans="1:28">
      <c r="A57" s="116"/>
      <c r="B57" s="116"/>
      <c r="C57" s="116"/>
      <c r="D57" s="3"/>
      <c r="E57" s="180"/>
      <c r="F57" s="180"/>
      <c r="G57" s="180"/>
      <c r="H57" s="180"/>
      <c r="I57" s="180"/>
      <c r="J57" s="180"/>
      <c r="K57" s="180"/>
      <c r="L57" s="208"/>
      <c r="M57" s="181"/>
      <c r="N57" s="181"/>
      <c r="O57" s="184"/>
      <c r="P57" s="183"/>
      <c r="Q57" s="183"/>
      <c r="R57" s="184"/>
      <c r="S57" s="184"/>
      <c r="T57" s="181"/>
      <c r="U57" s="181"/>
      <c r="V57" s="185"/>
      <c r="W57" s="186"/>
      <c r="X57" s="187"/>
      <c r="Y57" s="182"/>
      <c r="Z57" s="188"/>
      <c r="AA57" s="97"/>
      <c r="AB57" s="189"/>
    </row>
    <row r="58" spans="1:28">
      <c r="A58" s="116"/>
      <c r="B58" s="116"/>
      <c r="C58" s="116"/>
      <c r="D58" s="3"/>
      <c r="E58" s="180"/>
      <c r="F58" s="180"/>
      <c r="G58" s="180"/>
      <c r="H58" s="180"/>
      <c r="I58" s="180"/>
      <c r="J58" s="180"/>
      <c r="K58" s="180"/>
      <c r="L58" s="208"/>
      <c r="M58" s="181"/>
      <c r="N58" s="181"/>
      <c r="O58" s="184"/>
      <c r="P58" s="183"/>
      <c r="Q58" s="183"/>
      <c r="R58" s="184"/>
      <c r="S58" s="184"/>
      <c r="T58" s="181"/>
      <c r="U58" s="181"/>
      <c r="V58" s="185"/>
      <c r="W58" s="186"/>
      <c r="X58" s="187"/>
      <c r="Y58" s="182"/>
      <c r="Z58" s="188"/>
      <c r="AA58" s="97"/>
      <c r="AB58" s="189"/>
    </row>
    <row r="59" spans="1:28">
      <c r="A59" s="116"/>
      <c r="B59" s="116"/>
      <c r="C59" s="116"/>
      <c r="D59" s="3"/>
      <c r="E59" s="180"/>
      <c r="F59" s="180"/>
      <c r="G59" s="180"/>
      <c r="H59" s="180"/>
      <c r="I59" s="180"/>
      <c r="J59" s="180"/>
      <c r="K59" s="180"/>
      <c r="L59" s="208"/>
      <c r="M59" s="181"/>
      <c r="N59" s="181"/>
      <c r="O59" s="184"/>
      <c r="P59" s="183"/>
      <c r="Q59" s="183"/>
      <c r="R59" s="184"/>
      <c r="S59" s="184"/>
      <c r="T59" s="181"/>
      <c r="U59" s="181"/>
      <c r="V59" s="185"/>
      <c r="W59" s="186"/>
      <c r="X59" s="187"/>
      <c r="Y59" s="182"/>
      <c r="Z59" s="188"/>
      <c r="AA59" s="97"/>
      <c r="AB59" s="189"/>
    </row>
    <row r="60" spans="1:28">
      <c r="A60" s="116"/>
      <c r="B60" s="116"/>
      <c r="C60" s="116"/>
      <c r="D60" s="3"/>
      <c r="E60" s="180"/>
      <c r="F60" s="180"/>
      <c r="G60" s="180"/>
      <c r="H60" s="180"/>
      <c r="I60" s="180"/>
      <c r="J60" s="180"/>
      <c r="K60" s="180"/>
      <c r="L60" s="208"/>
      <c r="M60" s="181"/>
      <c r="N60" s="181"/>
      <c r="O60" s="184"/>
      <c r="P60" s="183"/>
      <c r="Q60" s="183"/>
      <c r="R60" s="184"/>
      <c r="S60" s="184"/>
      <c r="T60" s="181"/>
      <c r="U60" s="181"/>
      <c r="V60" s="185"/>
      <c r="W60" s="186"/>
      <c r="X60" s="187"/>
      <c r="Y60" s="182"/>
      <c r="Z60" s="188"/>
      <c r="AA60" s="97"/>
      <c r="AB60" s="189"/>
    </row>
    <row r="61" spans="1:28">
      <c r="A61" s="116"/>
      <c r="B61" s="116"/>
      <c r="C61" s="116"/>
      <c r="D61" s="3"/>
      <c r="E61" s="180"/>
      <c r="F61" s="180"/>
      <c r="G61" s="180"/>
      <c r="H61" s="180"/>
      <c r="I61" s="180"/>
      <c r="J61" s="180"/>
      <c r="K61" s="180"/>
      <c r="L61" s="208"/>
      <c r="M61" s="181"/>
      <c r="N61" s="181"/>
      <c r="O61" s="184"/>
      <c r="P61" s="183"/>
      <c r="Q61" s="183"/>
      <c r="R61" s="184"/>
      <c r="S61" s="184"/>
      <c r="T61" s="181"/>
      <c r="U61" s="181"/>
      <c r="V61" s="185"/>
      <c r="W61" s="186"/>
      <c r="X61" s="187"/>
      <c r="Y61" s="182"/>
      <c r="Z61" s="188"/>
      <c r="AA61" s="97"/>
      <c r="AB61" s="189"/>
    </row>
    <row r="62" spans="1:28">
      <c r="A62" s="116"/>
      <c r="B62" s="116"/>
      <c r="C62" s="116"/>
      <c r="D62" s="3"/>
      <c r="E62" s="180"/>
      <c r="F62" s="180"/>
      <c r="G62" s="180"/>
      <c r="H62" s="180"/>
      <c r="I62" s="180"/>
      <c r="J62" s="180"/>
      <c r="K62" s="180"/>
      <c r="L62" s="208"/>
      <c r="M62" s="181"/>
      <c r="N62" s="181"/>
      <c r="O62" s="184"/>
      <c r="P62" s="183"/>
      <c r="Q62" s="183"/>
      <c r="R62" s="184"/>
      <c r="S62" s="184"/>
      <c r="T62" s="181"/>
      <c r="U62" s="181"/>
      <c r="V62" s="185"/>
      <c r="W62" s="186"/>
      <c r="X62" s="187"/>
      <c r="Y62" s="182"/>
      <c r="Z62" s="188"/>
      <c r="AA62" s="97"/>
      <c r="AB62" s="189"/>
    </row>
    <row r="63" spans="1:28">
      <c r="A63" s="116"/>
      <c r="B63" s="116"/>
      <c r="C63" s="116"/>
      <c r="D63" s="3"/>
      <c r="E63" s="180"/>
      <c r="F63" s="180"/>
      <c r="G63" s="180"/>
      <c r="H63" s="180"/>
      <c r="I63" s="180"/>
      <c r="J63" s="180"/>
      <c r="K63" s="180"/>
      <c r="L63" s="208"/>
      <c r="M63" s="181"/>
      <c r="N63" s="181"/>
      <c r="O63" s="184"/>
      <c r="P63" s="183"/>
      <c r="Q63" s="183"/>
      <c r="R63" s="184"/>
      <c r="S63" s="184"/>
      <c r="T63" s="181"/>
      <c r="U63" s="181"/>
      <c r="V63" s="185"/>
      <c r="W63" s="186"/>
      <c r="X63" s="187"/>
      <c r="Y63" s="182"/>
      <c r="Z63" s="188"/>
      <c r="AA63" s="97"/>
      <c r="AB63" s="189"/>
    </row>
    <row r="64" spans="1:28">
      <c r="A64" s="116"/>
      <c r="B64" s="116"/>
      <c r="C64" s="116"/>
      <c r="D64" s="3"/>
      <c r="E64" s="180"/>
      <c r="F64" s="180"/>
      <c r="G64" s="180"/>
      <c r="H64" s="180"/>
      <c r="I64" s="180"/>
      <c r="J64" s="180"/>
      <c r="K64" s="180"/>
      <c r="L64" s="208"/>
      <c r="M64" s="181"/>
      <c r="N64" s="181"/>
      <c r="O64" s="184"/>
      <c r="P64" s="183"/>
      <c r="Q64" s="183"/>
      <c r="R64" s="184"/>
      <c r="S64" s="184"/>
      <c r="T64" s="181"/>
      <c r="U64" s="181"/>
      <c r="V64" s="185"/>
      <c r="W64" s="186"/>
      <c r="X64" s="187"/>
      <c r="Y64" s="182"/>
      <c r="Z64" s="188"/>
      <c r="AA64" s="97"/>
      <c r="AB64" s="189"/>
    </row>
    <row r="65" spans="1:28">
      <c r="A65" s="116"/>
      <c r="B65" s="116"/>
      <c r="C65" s="116"/>
      <c r="D65" s="3"/>
      <c r="E65" s="180"/>
      <c r="F65" s="180"/>
      <c r="G65" s="180"/>
      <c r="H65" s="180"/>
      <c r="I65" s="180"/>
      <c r="J65" s="180"/>
      <c r="K65" s="180"/>
      <c r="L65" s="208"/>
      <c r="M65" s="181"/>
      <c r="N65" s="181"/>
      <c r="O65" s="184"/>
      <c r="P65" s="183"/>
      <c r="Q65" s="183"/>
      <c r="R65" s="184"/>
      <c r="S65" s="184"/>
      <c r="T65" s="181"/>
      <c r="U65" s="181"/>
      <c r="V65" s="185"/>
      <c r="W65" s="186"/>
      <c r="X65" s="187"/>
      <c r="Y65" s="182"/>
      <c r="Z65" s="188"/>
      <c r="AA65" s="97"/>
      <c r="AB65" s="189"/>
    </row>
    <row r="66" spans="1:28">
      <c r="A66" s="116"/>
      <c r="B66" s="116"/>
      <c r="C66" s="116"/>
      <c r="D66" s="3"/>
      <c r="E66" s="180"/>
      <c r="F66" s="180"/>
      <c r="G66" s="180"/>
      <c r="H66" s="180"/>
      <c r="I66" s="180"/>
      <c r="J66" s="180"/>
      <c r="K66" s="180"/>
      <c r="L66" s="208"/>
      <c r="M66" s="181"/>
      <c r="N66" s="181"/>
      <c r="O66" s="184"/>
      <c r="P66" s="183"/>
      <c r="Q66" s="183"/>
      <c r="R66" s="184"/>
      <c r="S66" s="184"/>
      <c r="T66" s="181"/>
      <c r="U66" s="181"/>
      <c r="V66" s="185"/>
      <c r="W66" s="186"/>
      <c r="X66" s="187"/>
      <c r="Y66" s="182"/>
      <c r="Z66" s="188"/>
      <c r="AA66" s="97"/>
      <c r="AB66" s="189"/>
    </row>
    <row r="67" spans="1:28">
      <c r="A67" s="116"/>
      <c r="B67" s="116"/>
      <c r="C67" s="116"/>
      <c r="D67" s="3"/>
      <c r="E67" s="180"/>
      <c r="F67" s="180"/>
      <c r="G67" s="180"/>
      <c r="H67" s="180"/>
      <c r="I67" s="180"/>
      <c r="J67" s="180"/>
      <c r="K67" s="180"/>
      <c r="L67" s="208"/>
      <c r="M67" s="181"/>
      <c r="N67" s="181"/>
      <c r="O67" s="184"/>
      <c r="P67" s="183"/>
      <c r="Q67" s="183"/>
      <c r="R67" s="184"/>
      <c r="S67" s="184"/>
      <c r="T67" s="181"/>
      <c r="U67" s="181"/>
      <c r="V67" s="185"/>
      <c r="W67" s="186"/>
      <c r="X67" s="187"/>
      <c r="Y67" s="182"/>
      <c r="Z67" s="188"/>
      <c r="AA67" s="97"/>
      <c r="AB67" s="189"/>
    </row>
    <row r="68" spans="1:28">
      <c r="A68" s="116"/>
      <c r="B68" s="116"/>
      <c r="C68" s="116"/>
      <c r="D68" s="3"/>
      <c r="E68" s="180"/>
      <c r="F68" s="180"/>
      <c r="G68" s="180"/>
      <c r="H68" s="180"/>
      <c r="I68" s="180"/>
      <c r="J68" s="180"/>
      <c r="K68" s="180"/>
      <c r="L68" s="208"/>
      <c r="M68" s="181"/>
      <c r="N68" s="181"/>
      <c r="O68" s="184"/>
      <c r="P68" s="183"/>
      <c r="Q68" s="183"/>
      <c r="R68" s="184"/>
      <c r="S68" s="184"/>
      <c r="T68" s="181"/>
      <c r="U68" s="181"/>
      <c r="V68" s="185"/>
      <c r="W68" s="186"/>
      <c r="X68" s="187"/>
      <c r="Y68" s="182"/>
      <c r="Z68" s="188"/>
      <c r="AA68" s="97"/>
      <c r="AB68" s="189"/>
    </row>
    <row r="69" spans="1:28">
      <c r="A69" s="116"/>
      <c r="B69" s="116"/>
      <c r="C69" s="116"/>
      <c r="D69" s="3"/>
      <c r="E69" s="180"/>
      <c r="F69" s="180"/>
      <c r="G69" s="180"/>
      <c r="H69" s="180"/>
      <c r="I69" s="180"/>
      <c r="J69" s="180"/>
      <c r="K69" s="180"/>
      <c r="L69" s="208"/>
      <c r="M69" s="181"/>
      <c r="N69" s="181"/>
      <c r="O69" s="184"/>
      <c r="P69" s="183"/>
      <c r="Q69" s="183"/>
      <c r="R69" s="184"/>
      <c r="S69" s="184"/>
      <c r="T69" s="181"/>
      <c r="U69" s="181"/>
      <c r="V69" s="185"/>
      <c r="W69" s="186"/>
      <c r="X69" s="187"/>
      <c r="Y69" s="182"/>
      <c r="Z69" s="188"/>
      <c r="AA69" s="97"/>
      <c r="AB69" s="189"/>
    </row>
    <row r="70" spans="1:28">
      <c r="A70" s="116"/>
      <c r="B70" s="116"/>
      <c r="C70" s="116"/>
      <c r="D70" s="3"/>
      <c r="E70" s="180"/>
      <c r="F70" s="180"/>
      <c r="G70" s="180"/>
      <c r="H70" s="180"/>
      <c r="I70" s="180"/>
      <c r="J70" s="180"/>
      <c r="K70" s="180"/>
      <c r="L70" s="208"/>
      <c r="M70" s="181"/>
      <c r="N70" s="181"/>
      <c r="O70" s="184"/>
      <c r="P70" s="183"/>
      <c r="Q70" s="183"/>
      <c r="R70" s="184"/>
      <c r="S70" s="184"/>
      <c r="T70" s="181"/>
      <c r="U70" s="181"/>
      <c r="V70" s="185"/>
      <c r="W70" s="186"/>
      <c r="X70" s="187"/>
      <c r="Y70" s="182"/>
      <c r="Z70" s="188"/>
      <c r="AA70" s="97"/>
      <c r="AB70" s="189"/>
    </row>
    <row r="71" spans="1:28">
      <c r="A71" s="116"/>
      <c r="B71" s="116"/>
      <c r="C71" s="116"/>
      <c r="D71" s="3"/>
      <c r="E71" s="180"/>
      <c r="F71" s="180"/>
      <c r="G71" s="180"/>
      <c r="H71" s="180"/>
      <c r="I71" s="180"/>
      <c r="J71" s="180"/>
      <c r="K71" s="180"/>
      <c r="L71" s="208"/>
      <c r="M71" s="181"/>
      <c r="N71" s="181"/>
      <c r="O71" s="184"/>
      <c r="P71" s="183"/>
      <c r="Q71" s="183"/>
      <c r="R71" s="184"/>
      <c r="S71" s="184"/>
      <c r="T71" s="181"/>
      <c r="U71" s="181"/>
      <c r="V71" s="185"/>
      <c r="W71" s="186"/>
      <c r="X71" s="187"/>
      <c r="Y71" s="182"/>
      <c r="Z71" s="188"/>
      <c r="AA71" s="97"/>
      <c r="AB71" s="189"/>
    </row>
    <row r="72" spans="1:28">
      <c r="A72" s="116"/>
      <c r="B72" s="116"/>
      <c r="C72" s="116"/>
      <c r="D72" s="3"/>
      <c r="E72" s="180"/>
      <c r="F72" s="180"/>
      <c r="G72" s="180"/>
      <c r="H72" s="180"/>
      <c r="I72" s="180"/>
      <c r="J72" s="180"/>
      <c r="K72" s="180"/>
      <c r="L72" s="208"/>
      <c r="M72" s="181"/>
      <c r="N72" s="181"/>
      <c r="O72" s="184"/>
      <c r="P72" s="183"/>
      <c r="Q72" s="183"/>
      <c r="R72" s="184"/>
      <c r="S72" s="184"/>
      <c r="T72" s="181"/>
      <c r="U72" s="181"/>
      <c r="V72" s="185"/>
      <c r="W72" s="186"/>
      <c r="X72" s="187"/>
      <c r="Y72" s="182"/>
      <c r="Z72" s="188"/>
      <c r="AA72" s="97"/>
      <c r="AB72" s="189"/>
    </row>
    <row r="73" spans="1:28">
      <c r="A73" s="116"/>
      <c r="B73" s="116"/>
      <c r="C73" s="116"/>
      <c r="D73" s="3"/>
      <c r="E73" s="180"/>
      <c r="F73" s="180"/>
      <c r="G73" s="180"/>
      <c r="H73" s="180"/>
      <c r="I73" s="180"/>
      <c r="J73" s="180"/>
      <c r="K73" s="180"/>
      <c r="L73" s="208"/>
      <c r="M73" s="181"/>
      <c r="N73" s="181"/>
      <c r="O73" s="184"/>
      <c r="P73" s="183"/>
      <c r="Q73" s="183"/>
      <c r="R73" s="184"/>
      <c r="S73" s="184"/>
      <c r="T73" s="181"/>
      <c r="U73" s="181"/>
      <c r="V73" s="185"/>
      <c r="W73" s="186"/>
      <c r="X73" s="187"/>
      <c r="Y73" s="182"/>
      <c r="Z73" s="188"/>
      <c r="AA73" s="97"/>
      <c r="AB73" s="189"/>
    </row>
    <row r="74" spans="1:28">
      <c r="A74" s="116"/>
      <c r="B74" s="116"/>
      <c r="C74" s="116"/>
      <c r="D74" s="3"/>
      <c r="E74" s="180"/>
      <c r="F74" s="180"/>
      <c r="G74" s="180"/>
      <c r="H74" s="180"/>
      <c r="I74" s="180"/>
      <c r="J74" s="180"/>
      <c r="K74" s="180"/>
      <c r="L74" s="208"/>
      <c r="M74" s="181"/>
      <c r="N74" s="181"/>
      <c r="O74" s="184"/>
      <c r="P74" s="183"/>
      <c r="Q74" s="183"/>
      <c r="R74" s="184"/>
      <c r="S74" s="184"/>
      <c r="T74" s="181"/>
      <c r="U74" s="181"/>
      <c r="V74" s="185"/>
      <c r="W74" s="186"/>
      <c r="X74" s="187"/>
      <c r="Y74" s="182"/>
      <c r="Z74" s="188"/>
      <c r="AA74" s="97"/>
      <c r="AB74" s="189"/>
    </row>
    <row r="75" spans="1:28">
      <c r="A75" s="116"/>
      <c r="B75" s="116"/>
      <c r="C75" s="116"/>
      <c r="D75" s="3"/>
      <c r="E75" s="180"/>
      <c r="F75" s="180"/>
      <c r="G75" s="180"/>
      <c r="H75" s="180"/>
      <c r="I75" s="180"/>
      <c r="J75" s="180"/>
      <c r="K75" s="180"/>
      <c r="L75" s="208"/>
      <c r="M75" s="181"/>
      <c r="N75" s="181"/>
      <c r="O75" s="184"/>
      <c r="P75" s="183"/>
      <c r="Q75" s="183"/>
      <c r="R75" s="184"/>
      <c r="S75" s="184"/>
      <c r="T75" s="181"/>
      <c r="U75" s="181"/>
      <c r="V75" s="185"/>
      <c r="W75" s="186"/>
      <c r="X75" s="187"/>
      <c r="Y75" s="182"/>
      <c r="Z75" s="188"/>
      <c r="AA75" s="97"/>
      <c r="AB75" s="189"/>
    </row>
    <row r="76" spans="1:28">
      <c r="A76" s="165"/>
      <c r="B76" s="165"/>
      <c r="C76" s="165"/>
      <c r="D76" s="166"/>
      <c r="E76" s="167"/>
      <c r="F76" s="167"/>
      <c r="G76" s="167"/>
      <c r="H76" s="167"/>
      <c r="I76" s="167"/>
      <c r="J76" s="167"/>
      <c r="K76" s="167"/>
      <c r="L76" s="212"/>
      <c r="M76" s="168"/>
      <c r="N76" s="168"/>
      <c r="O76" s="171"/>
      <c r="P76" s="170"/>
      <c r="Q76" s="170"/>
      <c r="R76" s="171"/>
      <c r="S76" s="171"/>
      <c r="T76" s="168"/>
      <c r="U76" s="168"/>
      <c r="V76" s="172"/>
      <c r="W76" s="173"/>
      <c r="X76" s="174"/>
      <c r="Y76" s="169"/>
      <c r="Z76" s="175"/>
      <c r="AA76" s="176"/>
      <c r="AB76" s="177"/>
    </row>
  </sheetData>
  <sheetProtection formatCells="0" formatColumns="0" formatRows="0" insertColumns="0" insertRows="0" insertHyperlinks="0" deleteColumns="0" deleteRows="0" sort="0" autoFilter="0" pivotTables="0"/>
  <dataConsolidate/>
  <mergeCells count="28">
    <mergeCell ref="AB4:AB5"/>
    <mergeCell ref="T4:T5"/>
    <mergeCell ref="U4:U5"/>
    <mergeCell ref="V4:V5"/>
    <mergeCell ref="W4:W5"/>
    <mergeCell ref="X4:X5"/>
    <mergeCell ref="AA4:AA5"/>
    <mergeCell ref="N4:N5"/>
    <mergeCell ref="Z4:Z5"/>
    <mergeCell ref="O4:O5"/>
    <mergeCell ref="P4:P5"/>
    <mergeCell ref="Q4:Q5"/>
    <mergeCell ref="R4:R5"/>
    <mergeCell ref="S4:S5"/>
    <mergeCell ref="Y4:Y5"/>
    <mergeCell ref="D2:M2"/>
    <mergeCell ref="A4:A5"/>
    <mergeCell ref="B4:B5"/>
    <mergeCell ref="C4:C5"/>
    <mergeCell ref="D4:D5"/>
    <mergeCell ref="E4:K5"/>
    <mergeCell ref="L4:L5"/>
    <mergeCell ref="M4:M5"/>
    <mergeCell ref="AC4:AF4"/>
    <mergeCell ref="AC1:CA1"/>
    <mergeCell ref="AG4:AJ4"/>
    <mergeCell ref="AK4:AN4"/>
    <mergeCell ref="AO4:AR4"/>
  </mergeCells>
  <phoneticPr fontId="8" type="noConversion"/>
  <conditionalFormatting sqref="D6:AB35">
    <cfRule type="expression" dxfId="1" priority="2">
      <formula>($B6="G")</formula>
    </cfRule>
    <cfRule type="expression" dxfId="0" priority="1">
      <formula>($AB6=1)</formula>
    </cfRule>
  </conditionalFormatting>
  <hyperlinks>
    <hyperlink ref="AC1:CA1" r:id="rId1" display="http://xlworks.net/" xr:uid="{63F5F760-4DA2-4CBE-B42D-B77C1224034B}"/>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1010</v>
      </c>
      <c r="B1" s="18"/>
      <c r="C1" s="18"/>
      <c r="D1" s="18"/>
      <c r="E1" s="18"/>
      <c r="F1" s="18"/>
      <c r="G1" s="18"/>
      <c r="H1" s="18"/>
      <c r="I1" s="18"/>
      <c r="J1" s="18"/>
      <c r="K1" s="18"/>
      <c r="L1" s="262"/>
      <c r="M1" s="263"/>
      <c r="N1" s="263"/>
      <c r="O1" s="19"/>
      <c r="P1" s="19"/>
      <c r="Q1" s="19"/>
    </row>
    <row r="2" spans="1:17" s="23" customFormat="1" ht="13.8">
      <c r="A2" s="21" t="s">
        <v>997</v>
      </c>
      <c r="B2" s="22"/>
    </row>
    <row r="3" spans="1:17" s="23" customFormat="1" ht="13.8">
      <c r="A3" s="21" t="s">
        <v>998</v>
      </c>
      <c r="B3" s="22"/>
    </row>
    <row r="4" spans="1:17" s="23" customFormat="1" ht="13.8">
      <c r="A4" s="264"/>
      <c r="B4" s="264"/>
      <c r="C4" s="24"/>
      <c r="D4" s="25"/>
      <c r="E4" s="25"/>
      <c r="F4" s="25"/>
    </row>
    <row r="5" spans="1:17" s="31" customFormat="1" ht="13.8">
      <c r="A5" s="26"/>
      <c r="B5" s="27"/>
      <c r="C5" s="28"/>
      <c r="D5" s="29"/>
      <c r="E5" s="30"/>
      <c r="F5" s="30"/>
      <c r="G5" s="30"/>
    </row>
    <row r="6" spans="1:17" s="31" customFormat="1" ht="13.8">
      <c r="A6" s="32" t="s">
        <v>999</v>
      </c>
      <c r="B6" s="33">
        <v>240</v>
      </c>
      <c r="C6" s="31" t="s">
        <v>0</v>
      </c>
      <c r="D6" s="261" t="s">
        <v>1000</v>
      </c>
      <c r="E6" s="261"/>
      <c r="F6" s="261"/>
      <c r="G6" s="261"/>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1001</v>
      </c>
      <c r="B9" s="33">
        <v>238</v>
      </c>
      <c r="C9" s="31" t="s">
        <v>0</v>
      </c>
      <c r="D9" s="260" t="s">
        <v>1002</v>
      </c>
      <c r="E9" s="260"/>
      <c r="F9" s="260"/>
      <c r="G9" s="260"/>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996</v>
      </c>
      <c r="B12" s="33">
        <v>0</v>
      </c>
      <c r="C12" s="31" t="s">
        <v>0</v>
      </c>
      <c r="D12" s="260" t="s">
        <v>1053</v>
      </c>
      <c r="E12" s="260"/>
      <c r="F12" s="260"/>
      <c r="G12" s="260"/>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996</v>
      </c>
      <c r="B15" s="33"/>
      <c r="C15" s="31" t="s">
        <v>0</v>
      </c>
      <c r="D15" s="260" t="s">
        <v>1003</v>
      </c>
      <c r="E15" s="260"/>
      <c r="F15" s="260"/>
      <c r="G15" s="260"/>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1004</v>
      </c>
      <c r="B18" s="55">
        <v>0.9916666666666667</v>
      </c>
      <c r="D18" s="260" t="s">
        <v>1005</v>
      </c>
      <c r="E18" s="260"/>
      <c r="F18" s="260"/>
      <c r="G18" s="260"/>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1006</v>
      </c>
      <c r="B21" s="55">
        <v>0</v>
      </c>
      <c r="D21" s="260" t="s">
        <v>1007</v>
      </c>
      <c r="E21" s="260"/>
      <c r="F21" s="260"/>
      <c r="G21" s="260"/>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1008</v>
      </c>
      <c r="B24" s="65">
        <f>ACTUAL_RATE-PLANNED_RATE</f>
        <v>-0.9916666666666667</v>
      </c>
      <c r="D24" s="261" t="s">
        <v>1009</v>
      </c>
      <c r="E24" s="261"/>
      <c r="F24" s="261"/>
      <c r="G24" s="261"/>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O22"/>
  <sheetViews>
    <sheetView showGridLines="0" zoomScale="80" zoomScaleNormal="80" workbookViewId="0">
      <pane ySplit="1" topLeftCell="A31" activePane="bottomLeft" state="frozen"/>
      <selection pane="bottomLeft"/>
    </sheetView>
  </sheetViews>
  <sheetFormatPr defaultColWidth="9.09765625" defaultRowHeight="14.4"/>
  <cols>
    <col min="1" max="1" width="1.69921875" style="207" customWidth="1"/>
    <col min="2" max="3" width="9.796875" style="207" bestFit="1" customWidth="1"/>
    <col min="4" max="16384" width="9.09765625" style="207"/>
  </cols>
  <sheetData>
    <row r="1" spans="2:15" ht="37.049999999999997" customHeight="1">
      <c r="B1" s="78" t="s">
        <v>1124</v>
      </c>
    </row>
    <row r="2" spans="2:15">
      <c r="B2" s="207" t="s">
        <v>1125</v>
      </c>
    </row>
    <row r="3" spans="2:15">
      <c r="B3" s="207" t="s">
        <v>1126</v>
      </c>
    </row>
    <row r="4" spans="2:15">
      <c r="B4" s="268">
        <v>21</v>
      </c>
      <c r="C4" s="207" t="s">
        <v>1127</v>
      </c>
    </row>
    <row r="6" spans="2:15" ht="28.8">
      <c r="B6" s="79" t="s">
        <v>1011</v>
      </c>
      <c r="C6" s="179" t="s">
        <v>1012</v>
      </c>
      <c r="D6" s="179" t="s">
        <v>1</v>
      </c>
      <c r="E6" s="179" t="s">
        <v>2</v>
      </c>
      <c r="F6" s="270" t="s">
        <v>1128</v>
      </c>
      <c r="G6" s="269"/>
      <c r="H6" s="269"/>
      <c r="I6" s="269"/>
      <c r="J6" s="269"/>
      <c r="K6" s="269"/>
      <c r="L6" s="269"/>
      <c r="M6" s="269"/>
      <c r="N6" s="269"/>
      <c r="O6" s="269"/>
    </row>
    <row r="7" spans="2:15">
      <c r="B7" s="203">
        <v>43713</v>
      </c>
      <c r="C7" s="203">
        <v>43715</v>
      </c>
      <c r="D7" s="204">
        <v>2</v>
      </c>
      <c r="E7" s="272">
        <f>D7/$B$4</f>
        <v>9.5238095238095233E-2</v>
      </c>
      <c r="F7" s="273" t="str">
        <f t="shared" ref="F7:F21" si="0">REPT("|",IF(D7&gt;0,IF(D7/1&lt;1,1,D7/1)))</f>
        <v>||</v>
      </c>
      <c r="G7" s="204"/>
      <c r="H7" s="204"/>
      <c r="I7" s="204"/>
      <c r="J7" s="204"/>
      <c r="K7" s="204"/>
      <c r="L7" s="204"/>
      <c r="M7" s="204"/>
      <c r="N7" s="204"/>
      <c r="O7" s="204"/>
    </row>
    <row r="8" spans="2:15">
      <c r="B8" s="205">
        <v>43716</v>
      </c>
      <c r="C8" s="205">
        <v>43722</v>
      </c>
      <c r="D8" s="206">
        <v>3</v>
      </c>
      <c r="E8" s="274">
        <f t="shared" ref="E8:E21" si="1">D8/$B$4</f>
        <v>0.14285714285714285</v>
      </c>
      <c r="F8" s="275" t="str">
        <f t="shared" si="0"/>
        <v>|||</v>
      </c>
      <c r="G8" s="206"/>
      <c r="H8" s="206"/>
      <c r="I8" s="206"/>
      <c r="J8" s="206"/>
      <c r="K8" s="206"/>
      <c r="L8" s="206"/>
      <c r="M8" s="206"/>
      <c r="N8" s="206"/>
      <c r="O8" s="206"/>
    </row>
    <row r="9" spans="2:15">
      <c r="B9" s="205">
        <v>43723</v>
      </c>
      <c r="C9" s="205">
        <v>43729</v>
      </c>
      <c r="D9" s="206">
        <v>5</v>
      </c>
      <c r="E9" s="274">
        <f t="shared" si="1"/>
        <v>0.23809523809523808</v>
      </c>
      <c r="F9" s="275" t="str">
        <f t="shared" si="0"/>
        <v>|||||</v>
      </c>
      <c r="G9" s="206"/>
      <c r="H9" s="206"/>
      <c r="I9" s="206"/>
      <c r="J9" s="206"/>
      <c r="K9" s="206"/>
      <c r="L9" s="206"/>
      <c r="M9" s="206"/>
      <c r="N9" s="206"/>
      <c r="O9" s="206"/>
    </row>
    <row r="10" spans="2:15">
      <c r="B10" s="205">
        <v>43730</v>
      </c>
      <c r="C10" s="205">
        <v>43736</v>
      </c>
      <c r="D10" s="206">
        <v>15</v>
      </c>
      <c r="E10" s="274">
        <f t="shared" si="1"/>
        <v>0.7142857142857143</v>
      </c>
      <c r="F10" s="275" t="str">
        <f t="shared" si="0"/>
        <v>|||||||||||||||</v>
      </c>
      <c r="G10" s="206"/>
      <c r="H10" s="206"/>
      <c r="I10" s="206"/>
      <c r="J10" s="206"/>
      <c r="K10" s="206"/>
      <c r="L10" s="206"/>
      <c r="M10" s="206"/>
      <c r="N10" s="206"/>
      <c r="O10" s="206"/>
    </row>
    <row r="11" spans="2:15">
      <c r="B11" s="205">
        <v>43737</v>
      </c>
      <c r="C11" s="205">
        <v>43743</v>
      </c>
      <c r="D11" s="206">
        <v>12</v>
      </c>
      <c r="E11" s="274">
        <f t="shared" si="1"/>
        <v>0.5714285714285714</v>
      </c>
      <c r="F11" s="275" t="str">
        <f t="shared" si="0"/>
        <v>||||||||||||</v>
      </c>
      <c r="G11" s="206"/>
      <c r="H11" s="206"/>
      <c r="I11" s="206"/>
      <c r="J11" s="206"/>
      <c r="K11" s="206"/>
      <c r="L11" s="206"/>
      <c r="M11" s="206"/>
      <c r="N11" s="206"/>
      <c r="O11" s="206"/>
    </row>
    <row r="12" spans="2:15">
      <c r="B12" s="205">
        <v>43744</v>
      </c>
      <c r="C12" s="205">
        <v>43750</v>
      </c>
      <c r="D12" s="206">
        <v>12</v>
      </c>
      <c r="E12" s="274">
        <f t="shared" si="1"/>
        <v>0.5714285714285714</v>
      </c>
      <c r="F12" s="275" t="str">
        <f t="shared" si="0"/>
        <v>||||||||||||</v>
      </c>
      <c r="G12" s="206"/>
      <c r="H12" s="206"/>
      <c r="I12" s="206"/>
      <c r="J12" s="206"/>
      <c r="K12" s="206"/>
      <c r="L12" s="206"/>
      <c r="M12" s="206"/>
      <c r="N12" s="206"/>
      <c r="O12" s="206"/>
    </row>
    <row r="13" spans="2:15">
      <c r="B13" s="205">
        <v>43751</v>
      </c>
      <c r="C13" s="205">
        <v>43757</v>
      </c>
      <c r="D13" s="206">
        <v>15</v>
      </c>
      <c r="E13" s="274">
        <f t="shared" si="1"/>
        <v>0.7142857142857143</v>
      </c>
      <c r="F13" s="275" t="str">
        <f t="shared" si="0"/>
        <v>|||||||||||||||</v>
      </c>
      <c r="G13" s="206"/>
      <c r="H13" s="206"/>
      <c r="I13" s="206"/>
      <c r="J13" s="206"/>
      <c r="K13" s="206"/>
      <c r="L13" s="206"/>
      <c r="M13" s="206"/>
      <c r="N13" s="206"/>
      <c r="O13" s="206"/>
    </row>
    <row r="14" spans="2:15">
      <c r="B14" s="205">
        <v>43758</v>
      </c>
      <c r="C14" s="205">
        <v>43764</v>
      </c>
      <c r="D14" s="206">
        <v>15</v>
      </c>
      <c r="E14" s="274">
        <f t="shared" si="1"/>
        <v>0.7142857142857143</v>
      </c>
      <c r="F14" s="275" t="str">
        <f t="shared" si="0"/>
        <v>|||||||||||||||</v>
      </c>
      <c r="G14" s="206"/>
      <c r="H14" s="206"/>
      <c r="I14" s="206"/>
      <c r="J14" s="206"/>
      <c r="K14" s="206"/>
      <c r="L14" s="206"/>
      <c r="M14" s="206"/>
      <c r="N14" s="206"/>
      <c r="O14" s="206"/>
    </row>
    <row r="15" spans="2:15">
      <c r="B15" s="205">
        <v>43765</v>
      </c>
      <c r="C15" s="205">
        <v>43771</v>
      </c>
      <c r="D15" s="206">
        <v>15</v>
      </c>
      <c r="E15" s="274">
        <f t="shared" si="1"/>
        <v>0.7142857142857143</v>
      </c>
      <c r="F15" s="275" t="str">
        <f t="shared" si="0"/>
        <v>|||||||||||||||</v>
      </c>
      <c r="G15" s="206"/>
      <c r="H15" s="206"/>
      <c r="I15" s="206"/>
      <c r="J15" s="206"/>
      <c r="K15" s="206"/>
      <c r="L15" s="206"/>
      <c r="M15" s="206"/>
      <c r="N15" s="206"/>
      <c r="O15" s="206"/>
    </row>
    <row r="16" spans="2:15">
      <c r="B16" s="205">
        <v>43772</v>
      </c>
      <c r="C16" s="205">
        <v>43778</v>
      </c>
      <c r="D16" s="206">
        <v>35</v>
      </c>
      <c r="E16" s="274">
        <f t="shared" si="1"/>
        <v>1.6666666666666667</v>
      </c>
      <c r="F16" s="275" t="str">
        <f t="shared" si="0"/>
        <v>|||||||||||||||||||||||||||||||||||</v>
      </c>
      <c r="G16" s="206"/>
      <c r="H16" s="206"/>
      <c r="I16" s="206"/>
      <c r="J16" s="206"/>
      <c r="K16" s="206"/>
      <c r="L16" s="206"/>
      <c r="M16" s="206"/>
      <c r="N16" s="206"/>
      <c r="O16" s="206"/>
    </row>
    <row r="17" spans="2:15">
      <c r="B17" s="205">
        <v>43779</v>
      </c>
      <c r="C17" s="205">
        <v>43785</v>
      </c>
      <c r="D17" s="206">
        <v>35</v>
      </c>
      <c r="E17" s="274">
        <f t="shared" si="1"/>
        <v>1.6666666666666667</v>
      </c>
      <c r="F17" s="275" t="str">
        <f t="shared" si="0"/>
        <v>|||||||||||||||||||||||||||||||||||</v>
      </c>
      <c r="G17" s="206"/>
      <c r="H17" s="206"/>
      <c r="I17" s="206"/>
      <c r="J17" s="206"/>
      <c r="K17" s="206"/>
      <c r="L17" s="206"/>
      <c r="M17" s="206"/>
      <c r="N17" s="206"/>
      <c r="O17" s="206"/>
    </row>
    <row r="18" spans="2:15">
      <c r="B18" s="205">
        <v>43786</v>
      </c>
      <c r="C18" s="205">
        <v>43792</v>
      </c>
      <c r="D18" s="206">
        <v>30</v>
      </c>
      <c r="E18" s="274">
        <f t="shared" si="1"/>
        <v>1.4285714285714286</v>
      </c>
      <c r="F18" s="275" t="str">
        <f t="shared" si="0"/>
        <v>||||||||||||||||||||||||||||||</v>
      </c>
      <c r="G18" s="206"/>
      <c r="H18" s="206"/>
      <c r="I18" s="206"/>
      <c r="J18" s="206"/>
      <c r="K18" s="206"/>
      <c r="L18" s="206"/>
      <c r="M18" s="206"/>
      <c r="N18" s="206"/>
      <c r="O18" s="206"/>
    </row>
    <row r="19" spans="2:15">
      <c r="B19" s="205">
        <v>43793</v>
      </c>
      <c r="C19" s="205">
        <v>43799</v>
      </c>
      <c r="D19" s="206">
        <v>29</v>
      </c>
      <c r="E19" s="274">
        <f t="shared" si="1"/>
        <v>1.3809523809523809</v>
      </c>
      <c r="F19" s="275" t="str">
        <f t="shared" si="0"/>
        <v>|||||||||||||||||||||||||||||</v>
      </c>
      <c r="G19" s="206"/>
      <c r="H19" s="206"/>
      <c r="I19" s="206"/>
      <c r="J19" s="206"/>
      <c r="K19" s="206"/>
      <c r="L19" s="206"/>
      <c r="M19" s="206"/>
      <c r="N19" s="206"/>
      <c r="O19" s="206"/>
    </row>
    <row r="20" spans="2:15">
      <c r="B20" s="205">
        <v>43800</v>
      </c>
      <c r="C20" s="205">
        <v>43806</v>
      </c>
      <c r="D20" s="206">
        <v>10</v>
      </c>
      <c r="E20" s="274">
        <f t="shared" si="1"/>
        <v>0.47619047619047616</v>
      </c>
      <c r="F20" s="275" t="str">
        <f t="shared" si="0"/>
        <v>||||||||||</v>
      </c>
      <c r="G20" s="206"/>
      <c r="H20" s="206"/>
      <c r="I20" s="206"/>
      <c r="J20" s="206"/>
      <c r="K20" s="206"/>
      <c r="L20" s="206"/>
      <c r="M20" s="206"/>
      <c r="N20" s="206"/>
      <c r="O20" s="206"/>
    </row>
    <row r="21" spans="2:15">
      <c r="B21" s="205">
        <v>43807</v>
      </c>
      <c r="C21" s="205">
        <v>43813</v>
      </c>
      <c r="D21" s="206">
        <v>0</v>
      </c>
      <c r="E21" s="274">
        <f t="shared" si="1"/>
        <v>0</v>
      </c>
      <c r="F21" s="275" t="str">
        <f t="shared" si="0"/>
        <v/>
      </c>
      <c r="G21" s="206"/>
      <c r="H21" s="206"/>
      <c r="I21" s="206"/>
      <c r="J21" s="206"/>
      <c r="K21" s="206"/>
      <c r="L21" s="206"/>
      <c r="M21" s="206"/>
      <c r="N21" s="206"/>
      <c r="O21" s="206"/>
    </row>
    <row r="22" spans="2:15">
      <c r="C22" s="207" t="s">
        <v>3</v>
      </c>
      <c r="D22" s="207">
        <f>SUM(D7:D21)</f>
        <v>233</v>
      </c>
      <c r="E22" s="271">
        <f>D22/$B$4</f>
        <v>11.095238095238095</v>
      </c>
    </row>
  </sheetData>
  <dataConsolidate/>
  <mergeCells count="1">
    <mergeCell ref="F6:O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1014</v>
      </c>
      <c r="B1" s="17"/>
      <c r="C1" s="17"/>
      <c r="D1" s="17"/>
      <c r="E1" s="17"/>
      <c r="F1" s="17"/>
      <c r="G1" s="17"/>
      <c r="H1" s="17"/>
    </row>
    <row r="2" spans="1:9" s="81" customFormat="1" ht="78.75" customHeight="1">
      <c r="A2" s="265" t="s">
        <v>1015</v>
      </c>
      <c r="B2" s="265"/>
      <c r="C2" s="265"/>
      <c r="D2" s="265"/>
      <c r="E2" s="265"/>
      <c r="F2" s="265"/>
      <c r="G2" s="265"/>
      <c r="H2" s="265"/>
    </row>
    <row r="3" spans="1:9" s="81" customFormat="1" ht="24.75" customHeight="1">
      <c r="A3" s="266" t="s">
        <v>1016</v>
      </c>
      <c r="B3" s="266"/>
      <c r="D3" s="266" t="s">
        <v>1017</v>
      </c>
      <c r="E3" s="266"/>
      <c r="G3" s="266" t="s">
        <v>1018</v>
      </c>
      <c r="H3" s="266"/>
    </row>
    <row r="4" spans="1:9" s="83" customFormat="1" ht="19.5" customHeight="1">
      <c r="A4" s="82" t="s">
        <v>1019</v>
      </c>
      <c r="B4" s="82" t="s">
        <v>1021</v>
      </c>
      <c r="D4" s="82" t="s">
        <v>1020</v>
      </c>
      <c r="E4" s="82" t="s">
        <v>1022</v>
      </c>
      <c r="G4" s="82" t="s">
        <v>1020</v>
      </c>
      <c r="H4" s="82" t="s">
        <v>1021</v>
      </c>
    </row>
    <row r="5" spans="1:9" ht="17.399999999999999">
      <c r="A5" s="118" t="s">
        <v>971</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972</v>
      </c>
      <c r="B6" s="119">
        <v>43146</v>
      </c>
      <c r="C6" s="86" t="str">
        <f t="shared" si="0"/>
        <v>(목)</v>
      </c>
      <c r="D6" s="84"/>
      <c r="E6" s="85"/>
      <c r="F6" s="86" t="str">
        <f t="shared" si="1"/>
        <v/>
      </c>
      <c r="G6" s="84"/>
      <c r="H6" s="85"/>
      <c r="I6" s="86" t="str">
        <f t="shared" si="2"/>
        <v/>
      </c>
    </row>
    <row r="7" spans="1:9" ht="17.399999999999999">
      <c r="A7" s="118" t="s">
        <v>973</v>
      </c>
      <c r="B7" s="119">
        <v>43147</v>
      </c>
      <c r="C7" s="86" t="str">
        <f t="shared" si="0"/>
        <v>(금)</v>
      </c>
      <c r="D7" s="84"/>
      <c r="E7" s="85"/>
      <c r="F7" s="86" t="str">
        <f t="shared" si="1"/>
        <v/>
      </c>
      <c r="G7" s="84"/>
      <c r="H7" s="85"/>
      <c r="I7" s="86" t="str">
        <f t="shared" si="2"/>
        <v/>
      </c>
    </row>
    <row r="8" spans="1:9" ht="17.399999999999999">
      <c r="A8" s="118" t="s">
        <v>974</v>
      </c>
      <c r="B8" s="119">
        <v>43160</v>
      </c>
      <c r="C8" s="86" t="str">
        <f t="shared" si="0"/>
        <v>(목)</v>
      </c>
      <c r="D8" s="84"/>
      <c r="E8" s="85"/>
      <c r="F8" s="86" t="str">
        <f t="shared" si="1"/>
        <v/>
      </c>
      <c r="G8" s="84"/>
      <c r="H8" s="85"/>
      <c r="I8" s="86" t="str">
        <f t="shared" si="2"/>
        <v/>
      </c>
    </row>
    <row r="9" spans="1:9" ht="17.399999999999999">
      <c r="A9" s="118" t="s">
        <v>889</v>
      </c>
      <c r="B9" s="119">
        <v>43227</v>
      </c>
      <c r="C9" s="86" t="str">
        <f t="shared" si="0"/>
        <v>(월)</v>
      </c>
      <c r="D9" s="84"/>
      <c r="E9" s="85"/>
      <c r="F9" s="86" t="str">
        <f t="shared" si="1"/>
        <v/>
      </c>
      <c r="G9" s="84"/>
      <c r="H9" s="85"/>
      <c r="I9" s="86" t="str">
        <f t="shared" si="2"/>
        <v/>
      </c>
    </row>
    <row r="10" spans="1:9" ht="17.399999999999999">
      <c r="A10" s="118" t="s">
        <v>890</v>
      </c>
      <c r="B10" s="119">
        <v>43242</v>
      </c>
      <c r="C10" s="86" t="str">
        <f t="shared" si="0"/>
        <v>(화)</v>
      </c>
      <c r="D10" s="84"/>
      <c r="E10" s="85"/>
      <c r="F10" s="86" t="str">
        <f t="shared" si="1"/>
        <v/>
      </c>
      <c r="G10" s="84"/>
      <c r="H10" s="85"/>
      <c r="I10" s="86" t="str">
        <f t="shared" si="2"/>
        <v/>
      </c>
    </row>
    <row r="11" spans="1:9" ht="17.399999999999999">
      <c r="A11" s="118" t="s">
        <v>891</v>
      </c>
      <c r="B11" s="119">
        <v>43257</v>
      </c>
      <c r="C11" s="86" t="str">
        <f t="shared" si="0"/>
        <v>(수)</v>
      </c>
      <c r="D11" s="84"/>
      <c r="E11" s="85"/>
      <c r="F11" s="86" t="str">
        <f t="shared" si="1"/>
        <v/>
      </c>
      <c r="G11" s="84"/>
      <c r="H11" s="85"/>
      <c r="I11" s="86" t="str">
        <f t="shared" si="2"/>
        <v/>
      </c>
    </row>
    <row r="12" spans="1:9" ht="17.399999999999999">
      <c r="A12" s="118" t="s">
        <v>892</v>
      </c>
      <c r="B12" s="119">
        <v>43327</v>
      </c>
      <c r="C12" s="86" t="str">
        <f t="shared" si="0"/>
        <v>(수)</v>
      </c>
      <c r="D12" s="84"/>
      <c r="E12" s="85"/>
      <c r="F12" s="86" t="str">
        <f t="shared" si="1"/>
        <v/>
      </c>
      <c r="G12" s="84"/>
      <c r="H12" s="85"/>
      <c r="I12" s="86" t="str">
        <f t="shared" si="2"/>
        <v/>
      </c>
    </row>
    <row r="13" spans="1:9" ht="17.399999999999999">
      <c r="A13" s="118" t="s">
        <v>893</v>
      </c>
      <c r="B13" s="119">
        <v>43367</v>
      </c>
      <c r="C13" s="86" t="str">
        <f t="shared" si="0"/>
        <v>(월)</v>
      </c>
      <c r="D13" s="84"/>
      <c r="E13" s="85"/>
      <c r="F13" s="86" t="str">
        <f t="shared" si="1"/>
        <v/>
      </c>
      <c r="G13" s="84"/>
      <c r="H13" s="85"/>
      <c r="I13" s="86" t="str">
        <f t="shared" si="2"/>
        <v/>
      </c>
    </row>
    <row r="14" spans="1:9" ht="17.399999999999999">
      <c r="A14" s="118" t="s">
        <v>894</v>
      </c>
      <c r="B14" s="119">
        <v>43368</v>
      </c>
      <c r="C14" s="86" t="str">
        <f t="shared" si="0"/>
        <v>(화)</v>
      </c>
      <c r="D14" s="84"/>
      <c r="E14" s="85"/>
      <c r="F14" s="86" t="str">
        <f t="shared" si="1"/>
        <v/>
      </c>
      <c r="G14" s="84"/>
      <c r="H14" s="85"/>
      <c r="I14" s="86" t="str">
        <f t="shared" si="2"/>
        <v/>
      </c>
    </row>
    <row r="15" spans="1:9" ht="17.399999999999999">
      <c r="A15" s="118" t="s">
        <v>895</v>
      </c>
      <c r="B15" s="119">
        <v>43369</v>
      </c>
      <c r="C15" s="86" t="str">
        <f t="shared" si="0"/>
        <v>(수)</v>
      </c>
      <c r="D15" s="84"/>
      <c r="E15" s="85"/>
      <c r="F15" s="86" t="str">
        <f t="shared" si="1"/>
        <v/>
      </c>
      <c r="G15" s="84"/>
      <c r="H15" s="85"/>
      <c r="I15" s="86" t="str">
        <f t="shared" si="2"/>
        <v/>
      </c>
    </row>
    <row r="16" spans="1:9" ht="17.399999999999999">
      <c r="A16" s="118" t="s">
        <v>896</v>
      </c>
      <c r="B16" s="119">
        <v>43376</v>
      </c>
      <c r="C16" s="86" t="str">
        <f t="shared" si="0"/>
        <v>(수)</v>
      </c>
      <c r="D16" s="84"/>
      <c r="E16" s="85"/>
      <c r="F16" s="86" t="str">
        <f t="shared" si="1"/>
        <v/>
      </c>
      <c r="G16" s="84"/>
      <c r="H16" s="85"/>
      <c r="I16" s="86" t="str">
        <f t="shared" si="2"/>
        <v/>
      </c>
    </row>
    <row r="17" spans="1:10" ht="17.399999999999999">
      <c r="A17" s="118" t="s">
        <v>897</v>
      </c>
      <c r="B17" s="119">
        <v>43382</v>
      </c>
      <c r="C17" s="86" t="str">
        <f t="shared" si="0"/>
        <v>(화)</v>
      </c>
      <c r="D17" s="84"/>
      <c r="E17" s="85"/>
      <c r="F17" s="86" t="str">
        <f t="shared" si="1"/>
        <v/>
      </c>
      <c r="G17" s="84"/>
      <c r="H17" s="85"/>
      <c r="I17" s="86" t="str">
        <f t="shared" si="2"/>
        <v/>
      </c>
    </row>
    <row r="18" spans="1:10" ht="17.399999999999999">
      <c r="A18" s="118" t="s">
        <v>898</v>
      </c>
      <c r="B18" s="119">
        <v>43459</v>
      </c>
      <c r="C18" s="86" t="str">
        <f t="shared" si="0"/>
        <v>(화)</v>
      </c>
      <c r="D18" s="84"/>
      <c r="E18" s="85"/>
      <c r="F18" s="86" t="str">
        <f t="shared" si="1"/>
        <v/>
      </c>
      <c r="G18" s="84"/>
      <c r="H18" s="85"/>
      <c r="I18" s="86" t="str">
        <f t="shared" si="2"/>
        <v/>
      </c>
    </row>
    <row r="19" spans="1:10" ht="17.399999999999999">
      <c r="A19" s="118" t="s">
        <v>975</v>
      </c>
      <c r="B19" s="119">
        <v>43466</v>
      </c>
      <c r="C19" s="86" t="str">
        <f t="shared" si="0"/>
        <v>(화)</v>
      </c>
      <c r="D19" s="84"/>
      <c r="E19" s="85"/>
      <c r="F19" s="86" t="str">
        <f t="shared" si="1"/>
        <v/>
      </c>
      <c r="G19" s="84"/>
      <c r="H19" s="85"/>
      <c r="I19" s="86" t="str">
        <f t="shared" si="2"/>
        <v/>
      </c>
      <c r="J19" s="87"/>
    </row>
    <row r="20" spans="1:10" ht="17.399999999999999">
      <c r="A20" s="118" t="s">
        <v>976</v>
      </c>
      <c r="B20" s="119">
        <v>43500</v>
      </c>
      <c r="C20" s="86" t="str">
        <f t="shared" si="0"/>
        <v>(월)</v>
      </c>
      <c r="D20" s="84"/>
      <c r="E20" s="85"/>
      <c r="F20" s="86" t="str">
        <f t="shared" si="1"/>
        <v/>
      </c>
      <c r="G20" s="84"/>
      <c r="H20" s="85"/>
      <c r="I20" s="86" t="str">
        <f t="shared" si="2"/>
        <v/>
      </c>
      <c r="J20" s="87"/>
    </row>
    <row r="21" spans="1:10" ht="17.399999999999999">
      <c r="A21" s="118" t="s">
        <v>977</v>
      </c>
      <c r="B21" s="119">
        <v>43501</v>
      </c>
      <c r="C21" s="86" t="str">
        <f t="shared" si="0"/>
        <v>(화)</v>
      </c>
      <c r="D21" s="84"/>
      <c r="E21" s="85"/>
      <c r="F21" s="86" t="str">
        <f t="shared" si="1"/>
        <v/>
      </c>
      <c r="G21" s="84"/>
      <c r="H21" s="85"/>
      <c r="I21" s="86" t="str">
        <f t="shared" si="2"/>
        <v/>
      </c>
    </row>
    <row r="22" spans="1:10" ht="17.399999999999999">
      <c r="A22" s="118" t="s">
        <v>976</v>
      </c>
      <c r="B22" s="119">
        <v>43502</v>
      </c>
      <c r="C22" s="86" t="str">
        <f t="shared" si="0"/>
        <v>(수)</v>
      </c>
      <c r="D22" s="84"/>
      <c r="E22" s="85"/>
      <c r="F22" s="86" t="str">
        <f t="shared" si="1"/>
        <v/>
      </c>
      <c r="G22" s="84"/>
      <c r="H22" s="85"/>
      <c r="I22" s="86" t="str">
        <f t="shared" si="2"/>
        <v/>
      </c>
    </row>
    <row r="23" spans="1:10" ht="17.399999999999999">
      <c r="A23" s="118" t="s">
        <v>978</v>
      </c>
      <c r="B23" s="119">
        <v>43525</v>
      </c>
      <c r="C23" s="86" t="str">
        <f t="shared" si="0"/>
        <v>(금)</v>
      </c>
      <c r="D23" s="84"/>
      <c r="E23" s="85"/>
      <c r="F23" s="86" t="str">
        <f t="shared" si="1"/>
        <v/>
      </c>
      <c r="G23" s="84"/>
      <c r="H23" s="85"/>
      <c r="I23" s="86" t="str">
        <f t="shared" si="2"/>
        <v/>
      </c>
    </row>
    <row r="24" spans="1:10" ht="17.399999999999999">
      <c r="A24" s="118" t="s">
        <v>979</v>
      </c>
      <c r="B24" s="119">
        <v>43591</v>
      </c>
      <c r="C24" s="86" t="str">
        <f t="shared" si="0"/>
        <v>(월)</v>
      </c>
      <c r="D24" s="84"/>
      <c r="E24" s="85"/>
      <c r="F24" s="86" t="str">
        <f t="shared" si="1"/>
        <v/>
      </c>
      <c r="G24" s="84"/>
      <c r="H24" s="85"/>
      <c r="I24" s="86" t="str">
        <f t="shared" si="2"/>
        <v/>
      </c>
    </row>
    <row r="25" spans="1:10" ht="17.399999999999999">
      <c r="A25" s="118" t="s">
        <v>980</v>
      </c>
      <c r="B25" s="119">
        <v>43622</v>
      </c>
      <c r="C25" s="86" t="str">
        <f t="shared" si="0"/>
        <v>(목)</v>
      </c>
      <c r="D25" s="84"/>
      <c r="E25" s="85"/>
      <c r="F25" s="86" t="str">
        <f t="shared" si="1"/>
        <v/>
      </c>
      <c r="G25" s="84"/>
      <c r="H25" s="85"/>
      <c r="I25" s="86" t="str">
        <f t="shared" si="2"/>
        <v/>
      </c>
    </row>
    <row r="26" spans="1:10" ht="17.399999999999999">
      <c r="A26" s="118" t="s">
        <v>981</v>
      </c>
      <c r="B26" s="119">
        <v>43692</v>
      </c>
      <c r="C26" s="86" t="str">
        <f t="shared" si="0"/>
        <v>(목)</v>
      </c>
      <c r="D26" s="84"/>
      <c r="E26" s="85"/>
      <c r="F26" s="86" t="str">
        <f t="shared" si="1"/>
        <v/>
      </c>
      <c r="G26" s="84"/>
      <c r="H26" s="85"/>
      <c r="I26" s="86" t="str">
        <f t="shared" si="2"/>
        <v/>
      </c>
    </row>
    <row r="27" spans="1:10" ht="17.399999999999999">
      <c r="A27" s="118" t="s">
        <v>982</v>
      </c>
      <c r="B27" s="119">
        <v>43720</v>
      </c>
      <c r="C27" s="86" t="str">
        <f t="shared" si="0"/>
        <v>(목)</v>
      </c>
      <c r="D27" s="84"/>
      <c r="E27" s="85"/>
      <c r="F27" s="86" t="str">
        <f t="shared" si="1"/>
        <v/>
      </c>
      <c r="G27" s="84"/>
      <c r="H27" s="85"/>
      <c r="I27" s="86" t="str">
        <f t="shared" si="2"/>
        <v/>
      </c>
    </row>
    <row r="28" spans="1:10" ht="17.399999999999999">
      <c r="A28" s="118" t="s">
        <v>983</v>
      </c>
      <c r="B28" s="119">
        <v>43721</v>
      </c>
      <c r="C28" s="86" t="str">
        <f t="shared" si="0"/>
        <v>(금)</v>
      </c>
      <c r="D28" s="84"/>
      <c r="E28" s="85"/>
      <c r="F28" s="86" t="str">
        <f t="shared" si="1"/>
        <v/>
      </c>
      <c r="G28" s="84"/>
      <c r="H28" s="85"/>
      <c r="I28" s="86" t="str">
        <f t="shared" si="2"/>
        <v/>
      </c>
    </row>
    <row r="29" spans="1:10" ht="17.399999999999999">
      <c r="A29" s="118" t="s">
        <v>984</v>
      </c>
      <c r="B29" s="119">
        <v>43741</v>
      </c>
      <c r="C29" s="86" t="str">
        <f t="shared" si="0"/>
        <v>(목)</v>
      </c>
      <c r="D29" s="84"/>
      <c r="E29" s="85"/>
      <c r="F29" s="86" t="str">
        <f t="shared" si="1"/>
        <v/>
      </c>
      <c r="G29" s="84"/>
      <c r="H29" s="85"/>
      <c r="I29" s="86" t="str">
        <f t="shared" si="2"/>
        <v/>
      </c>
    </row>
    <row r="30" spans="1:10" ht="17.399999999999999">
      <c r="A30" s="118" t="s">
        <v>985</v>
      </c>
      <c r="B30" s="119">
        <v>43747</v>
      </c>
      <c r="C30" s="86" t="str">
        <f t="shared" si="0"/>
        <v>(수)</v>
      </c>
      <c r="D30" s="84"/>
      <c r="E30" s="85"/>
      <c r="F30" s="86" t="str">
        <f t="shared" si="1"/>
        <v/>
      </c>
      <c r="G30" s="84"/>
      <c r="H30" s="85"/>
      <c r="I30" s="86" t="str">
        <f t="shared" si="2"/>
        <v/>
      </c>
    </row>
    <row r="31" spans="1:10" ht="17.399999999999999">
      <c r="A31" s="118" t="s">
        <v>986</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1023</v>
      </c>
      <c r="D305" s="86" t="s">
        <v>1023</v>
      </c>
      <c r="G305" s="86" t="s">
        <v>1023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User</cp:lastModifiedBy>
  <dcterms:created xsi:type="dcterms:W3CDTF">2018-02-18T09:45:14Z</dcterms:created>
  <dcterms:modified xsi:type="dcterms:W3CDTF">2019-12-13T15:51:25Z</dcterms:modified>
</cp:coreProperties>
</file>